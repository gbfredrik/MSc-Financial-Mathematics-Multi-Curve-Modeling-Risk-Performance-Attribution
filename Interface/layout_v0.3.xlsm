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amensarbete\"/>
    </mc:Choice>
  </mc:AlternateContent>
  <xr:revisionPtr revIDLastSave="0" documentId="13_ncr:1_{2E7F232B-BCD7-49F0-B3B0-23F80C2F047A}" xr6:coauthVersionLast="36" xr6:coauthVersionMax="36" xr10:uidLastSave="{00000000-0000-0000-0000-000000000000}"/>
  <bookViews>
    <workbookView xWindow="28680" yWindow="198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  <sheet name="rawInterpolTest" sheetId="6" r:id="rId6"/>
    <sheet name="mid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A2" i="2"/>
  <c r="A3" i="5"/>
  <c r="A2" i="4"/>
  <c r="B6" i="1" l="1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M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N3" i="3"/>
  <c r="X3" i="3"/>
  <c r="T3" i="3"/>
  <c r="G3" i="3"/>
  <c r="I3" i="3"/>
  <c r="P3" i="3"/>
  <c r="W3" i="3"/>
  <c r="U3" i="3"/>
  <c r="Q3" i="3"/>
  <c r="Y3" i="3"/>
  <c r="R3" i="3"/>
  <c r="V3" i="3"/>
  <c r="J3" i="3"/>
  <c r="O3" i="3"/>
  <c r="S3" i="3"/>
  <c r="K3" i="3"/>
  <c r="L3" i="3"/>
  <c r="M3" i="3"/>
</calcChain>
</file>

<file path=xl/sharedStrings.xml><?xml version="1.0" encoding="utf-8"?>
<sst xmlns="http://schemas.openxmlformats.org/spreadsheetml/2006/main" count="1134" uniqueCount="765">
  <si>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</si>
  <si>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</si>
  <si>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</si>
  <si>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</si>
  <si>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</si>
  <si>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</si>
  <si>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</si>
  <si>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</si>
  <si>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</si>
  <si>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</si>
  <si>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</si>
  <si>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</si>
  <si>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</si>
  <si>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</si>
  <si>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</si>
  <si>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</si>
  <si>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</si>
  <si>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</si>
  <si>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</si>
  <si>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</si>
  <si>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</si>
  <si>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</si>
  <si>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</si>
  <si>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</si>
  <si>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</si>
  <si>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</si>
  <si>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</si>
  <si>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</si>
  <si>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</si>
  <si>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</si>
  <si>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</si>
  <si>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</si>
  <si>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</si>
  <si>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</si>
  <si>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</si>
  <si>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</si>
  <si>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</si>
  <si>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</si>
  <si>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</si>
  <si>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</si>
  <si>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</si>
  <si>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</si>
  <si>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</si>
  <si>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</si>
  <si>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</si>
  <si>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</si>
  <si>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</si>
  <si>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</si>
  <si>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</si>
  <si>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</si>
  <si>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</si>
  <si>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</si>
  <si>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</si>
  <si>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</si>
  <si>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</si>
  <si>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</si>
  <si>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</si>
  <si>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</si>
  <si>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</si>
  <si>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</si>
  <si>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</si>
  <si>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</si>
  <si>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</si>
  <si>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</si>
  <si>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</si>
  <si>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</si>
  <si>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</si>
  <si>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</si>
  <si>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</si>
  <si>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</si>
  <si>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</si>
  <si>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</si>
  <si>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</si>
  <si>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</si>
  <si>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</si>
  <si>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</si>
  <si>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</si>
  <si>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</si>
  <si>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</si>
  <si>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</si>
  <si>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</si>
  <si>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</si>
  <si>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</si>
  <si>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</si>
  <si>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</si>
  <si>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</si>
  <si>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</si>
  <si>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</si>
  <si>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</si>
  <si>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</si>
  <si>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</si>
  <si>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</si>
  <si>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</si>
  <si>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</si>
  <si>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</si>
  <si>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</si>
  <si>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</si>
  <si>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</si>
  <si>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</si>
  <si>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</si>
  <si>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</si>
  <si>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</si>
  <si>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</si>
  <si>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</si>
  <si>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</si>
  <si>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</si>
  <si>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</si>
  <si>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</si>
  <si>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</si>
  <si>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</si>
  <si>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</si>
  <si>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</si>
  <si>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</si>
  <si>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</si>
  <si>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</si>
  <si>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</si>
  <si>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</si>
  <si>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</si>
  <si>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</si>
  <si>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</si>
  <si>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</si>
  <si>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</si>
  <si>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</si>
  <si>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</si>
  <si>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</si>
  <si>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</si>
  <si>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</si>
  <si>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</si>
  <si>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</si>
  <si>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</si>
  <si>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</si>
  <si>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</si>
  <si>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</si>
  <si>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</si>
  <si>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</si>
  <si>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</si>
  <si>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</si>
  <si>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</si>
  <si>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</si>
  <si>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</si>
  <si>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</si>
  <si>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</si>
  <si>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</si>
  <si>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</si>
  <si>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</si>
  <si>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</si>
  <si>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</si>
  <si>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</si>
  <si>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</si>
  <si>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</si>
  <si>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</si>
  <si>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</si>
  <si>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</si>
  <si>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</si>
  <si>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</si>
  <si>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</si>
  <si>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</si>
  <si>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</si>
  <si>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</si>
  <si>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</si>
  <si>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</si>
  <si>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</si>
  <si>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</si>
  <si>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</si>
  <si>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</si>
  <si>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</si>
  <si>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</si>
  <si>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</si>
  <si>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</si>
  <si>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</si>
  <si>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</si>
  <si>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</si>
  <si>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</si>
  <si>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</si>
  <si>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</si>
  <si>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</si>
  <si>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</si>
  <si>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</si>
  <si>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</si>
  <si>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</si>
  <si>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</si>
  <si>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</si>
  <si>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</si>
  <si>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</si>
  <si>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</si>
  <si>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</si>
  <si>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</si>
  <si>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</si>
  <si>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</si>
  <si>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</si>
  <si>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</si>
  <si>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</si>
  <si>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</si>
  <si>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</si>
  <si>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</si>
  <si>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</si>
  <si>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</si>
  <si>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</si>
  <si>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</si>
  <si>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</si>
  <si>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</si>
  <si>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</si>
  <si>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</si>
  <si>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</si>
  <si>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</si>
  <si>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</si>
  <si>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</si>
  <si>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</si>
  <si>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</si>
  <si>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</si>
  <si>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</si>
  <si>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</si>
  <si>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</si>
  <si>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</si>
  <si>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</si>
  <si>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</si>
  <si>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</si>
  <si>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</si>
  <si>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</si>
  <si>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</si>
  <si>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</si>
  <si>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</si>
  <si>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</si>
  <si>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</si>
  <si>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</si>
  <si>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</si>
  <si>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</si>
  <si>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</si>
  <si>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</si>
  <si>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</si>
  <si>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</si>
  <si>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</si>
  <si>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</si>
  <si>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</si>
  <si>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</si>
  <si>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</si>
  <si>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</si>
  <si>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</si>
  <si>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</si>
  <si>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</si>
  <si>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</si>
  <si>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</si>
  <si>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</si>
  <si>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</si>
  <si>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</si>
  <si>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</si>
  <si>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</si>
  <si>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</si>
  <si>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</si>
  <si>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</si>
  <si>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</si>
  <si>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</si>
  <si>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</si>
  <si>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</si>
  <si>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</si>
  <si>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</si>
  <si>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</si>
  <si>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</si>
  <si>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</si>
  <si>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</si>
  <si>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</si>
  <si>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</si>
  <si>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</si>
  <si>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</si>
  <si>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</si>
  <si>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</si>
  <si>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</si>
  <si>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</si>
  <si>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</si>
  <si>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</si>
  <si>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</si>
  <si>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</si>
  <si>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</si>
  <si>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</si>
  <si>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</si>
  <si>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</si>
  <si>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</si>
  <si>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</si>
  <si>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</si>
  <si>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</si>
  <si>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</si>
  <si>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</si>
  <si>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</si>
  <si>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</si>
  <si>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</si>
  <si>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</si>
  <si>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</si>
  <si>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</si>
  <si>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</si>
  <si>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</si>
  <si>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</si>
  <si>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</si>
  <si>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</si>
  <si>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</si>
  <si>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</si>
  <si>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</si>
  <si>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</si>
  <si>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</si>
  <si>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</si>
  <si>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</si>
  <si>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</si>
  <si>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</si>
  <si>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</si>
  <si>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</si>
  <si>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</si>
  <si>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</si>
  <si>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</si>
  <si>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</si>
  <si>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</si>
  <si>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</si>
  <si>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</si>
  <si>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</si>
  <si>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</si>
  <si>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</si>
  <si>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</si>
  <si>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</si>
  <si>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</si>
  <si>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</si>
  <si>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</si>
  <si>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</si>
  <si>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</si>
  <si>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</si>
  <si>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</si>
  <si>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</si>
  <si>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</si>
  <si>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</si>
  <si>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</si>
  <si>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</si>
  <si>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</si>
  <si>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</si>
  <si>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</si>
  <si>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</si>
  <si>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</si>
  <si>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</si>
  <si>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</si>
  <si>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</si>
  <si>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</si>
  <si>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</si>
  <si>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</si>
  <si>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</si>
  <si>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</si>
  <si>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</si>
  <si>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</si>
  <si>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</si>
  <si>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</si>
  <si>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</si>
  <si>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</si>
  <si>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</si>
  <si>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</si>
  <si>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</si>
  <si>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</si>
  <si>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</si>
  <si>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</si>
  <si>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</si>
  <si>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</si>
  <si>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</si>
  <si>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</si>
  <si>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</si>
  <si>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</si>
  <si>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</si>
  <si>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</si>
  <si>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</si>
  <si>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</si>
  <si>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</si>
  <si>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</si>
  <si>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</si>
  <si>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</si>
  <si>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</si>
  <si>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</si>
  <si>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</si>
  <si>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</si>
  <si>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</si>
  <si>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</si>
  <si>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</si>
  <si>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</si>
  <si>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</si>
  <si>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</si>
  <si>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</si>
  <si>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</si>
  <si>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</si>
  <si>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</si>
  <si>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</si>
  <si>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</si>
  <si>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</si>
  <si>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</si>
  <si>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</si>
  <si>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</si>
  <si>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</si>
  <si>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</si>
  <si>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</si>
  <si>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</si>
  <si>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</si>
  <si>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</si>
  <si>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</si>
  <si>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</si>
  <si>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</si>
  <si>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</si>
  <si>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</si>
  <si>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</si>
  <si>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</si>
  <si>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</si>
  <si>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</si>
  <si>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</si>
  <si>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</si>
  <si>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</si>
  <si>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</si>
  <si>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</si>
  <si>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</si>
  <si>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</si>
  <si>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</si>
  <si>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</si>
  <si>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</si>
  <si>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</si>
  <si>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</si>
  <si>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</si>
  <si>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</si>
  <si>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</si>
  <si>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</si>
  <si>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</si>
  <si>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</si>
  <si>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</si>
  <si>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</si>
  <si>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</si>
  <si>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</si>
  <si>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</si>
  <si>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</si>
  <si>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</si>
  <si>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</si>
  <si>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</si>
  <si>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</si>
  <si>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</si>
  <si>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</si>
  <si>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</si>
  <si>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</si>
  <si>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</si>
  <si>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</si>
  <si>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</si>
  <si>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</si>
  <si>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</si>
  <si>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</si>
  <si>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</si>
  <si>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</si>
  <si>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</si>
  <si>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</si>
  <si>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</si>
  <si>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</si>
  <si>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</si>
  <si>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</si>
  <si>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</si>
  <si>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</si>
  <si>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</si>
  <si>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</si>
  <si>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</si>
  <si>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</si>
  <si>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</si>
  <si>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</si>
  <si>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</si>
  <si>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</si>
  <si>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</si>
  <si>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</si>
  <si>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</si>
  <si>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</si>
  <si>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</si>
  <si>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</si>
  <si>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</si>
  <si>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</si>
  <si>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</si>
  <si>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</si>
  <si>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</si>
  <si>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</si>
  <si>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</si>
  <si>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</si>
  <si>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</si>
  <si>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</si>
  <si>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</si>
  <si>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</si>
  <si>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</si>
  <si>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</si>
  <si>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</si>
  <si>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</si>
  <si>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</si>
  <si>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</si>
  <si>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</si>
  <si>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</si>
  <si>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</si>
  <si>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</si>
  <si>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</si>
  <si>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</si>
  <si>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</si>
  <si>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</si>
  <si>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</si>
  <si>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</si>
  <si>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</si>
  <si>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</si>
  <si>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</si>
  <si>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</si>
  <si>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</si>
  <si>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</si>
  <si>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</si>
  <si>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</si>
  <si>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</si>
  <si>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</si>
  <si>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</si>
  <si>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</si>
  <si>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</si>
  <si>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</si>
  <si>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</si>
  <si>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</si>
  <si>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</si>
  <si>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</si>
  <si>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</si>
  <si>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</si>
  <si>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</si>
  <si>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</si>
  <si>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</si>
  <si>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</si>
  <si>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</si>
  <si>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</si>
  <si>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</si>
  <si>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</si>
  <si>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</si>
  <si>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</si>
  <si>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</si>
  <si>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</si>
  <si>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</si>
  <si>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</si>
  <si>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</si>
  <si>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</si>
  <si>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</si>
  <si>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</si>
  <si>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</si>
  <si>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</si>
  <si>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</si>
  <si>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</si>
  <si>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</si>
  <si>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</si>
  <si>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</si>
  <si>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</si>
  <si>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</si>
  <si>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</si>
  <si>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</si>
  <si>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</si>
  <si>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</si>
  <si>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</si>
  <si>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</si>
  <si>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</si>
  <si>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</si>
  <si>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</si>
  <si>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</si>
  <si>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</si>
  <si>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</si>
  <si>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</si>
  <si>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</si>
  <si>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</si>
  <si>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</si>
  <si>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</si>
  <si>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</si>
  <si>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</si>
  <si>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</si>
  <si>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</si>
  <si>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</si>
  <si>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</si>
  <si>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</si>
  <si>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</si>
  <si>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</si>
  <si>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</si>
  <si>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</si>
  <si>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</si>
  <si>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</si>
  <si>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</si>
  <si>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</si>
  <si>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</si>
  <si>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</si>
  <si>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</si>
  <si>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</si>
  <si>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</si>
  <si>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</si>
  <si>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</si>
  <si>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</si>
  <si>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</si>
  <si>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</si>
  <si>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</si>
  <si>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</si>
  <si>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</si>
  <si>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</si>
  <si>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</si>
  <si>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</si>
  <si>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</si>
  <si>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</si>
  <si>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</si>
  <si>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</si>
  <si>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</si>
  <si>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</si>
  <si>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</si>
  <si>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</si>
  <si>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</si>
  <si>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</si>
  <si>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</si>
  <si>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</si>
  <si>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</si>
  <si>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</si>
  <si>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</si>
  <si>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</si>
  <si>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</si>
  <si>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</si>
  <si>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</si>
  <si>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</si>
  <si>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</si>
  <si>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</si>
  <si>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</si>
  <si>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</si>
  <si>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</si>
  <si>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</si>
  <si>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</si>
  <si>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</si>
  <si>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</si>
  <si>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</si>
  <si>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</si>
  <si>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</si>
  <si>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</si>
  <si>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</si>
  <si>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</si>
  <si>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</si>
  <si>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</si>
  <si>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</si>
  <si>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</si>
  <si>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</si>
  <si>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</si>
  <si>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</si>
  <si>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</si>
  <si>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</si>
  <si>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</si>
  <si>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</si>
  <si>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</si>
  <si>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</si>
  <si>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</si>
  <si>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</si>
  <si>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</si>
  <si>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</si>
  <si>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</si>
  <si>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</si>
  <si>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</si>
  <si>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</si>
  <si>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</si>
  <si>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</si>
  <si>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</si>
  <si>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</si>
  <si>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</si>
  <si>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</si>
  <si>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</si>
  <si>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</si>
  <si>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</si>
  <si>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</si>
  <si>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</si>
  <si>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</si>
  <si>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</si>
  <si>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</si>
  <si>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</si>
  <si>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</si>
  <si>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</si>
  <si>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</si>
  <si>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</si>
  <si>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</si>
  <si>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</si>
  <si>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</si>
  <si>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</si>
  <si>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</si>
  <si>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</si>
  <si>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</si>
  <si>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</si>
  <si>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</si>
  <si>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</si>
  <si>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</si>
  <si>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</si>
  <si>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</si>
  <si>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</si>
  <si>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</si>
  <si>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</si>
  <si>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</si>
  <si>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</si>
  <si>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</si>
  <si>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</si>
  <si>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</si>
  <si>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</si>
  <si>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Timestamp</t>
  </si>
  <si>
    <t>Bid Close</t>
  </si>
  <si>
    <t>Ask Close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</si>
  <si>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</si>
  <si>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</si>
  <si>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</si>
  <si>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</si>
  <si>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</si>
  <si>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</si>
  <si>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</si>
  <si>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</si>
  <si>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</si>
  <si>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</si>
  <si>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</si>
  <si>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</si>
  <si>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</si>
  <si>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</si>
  <si>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</si>
  <si>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</si>
  <si>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</si>
  <si>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</si>
  <si>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</si>
  <si>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</si>
  <si>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</si>
  <si>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</si>
  <si>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</si>
  <si>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</si>
  <si>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</si>
  <si>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</si>
  <si>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</si>
  <si>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</si>
  <si>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</si>
  <si>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</si>
  <si>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</si>
  <si>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</si>
  <si>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</si>
  <si>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</si>
  <si>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</si>
  <si>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</si>
  <si>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</si>
  <si>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</si>
  <si>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</si>
  <si>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</si>
  <si>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</si>
  <si>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</si>
  <si>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</si>
  <si>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</si>
  <si>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</si>
  <si>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</si>
  <si>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</si>
  <si>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</si>
  <si>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</si>
  <si>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</si>
  <si>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</si>
  <si>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</si>
  <si>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</si>
  <si>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USD18X24F=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</si>
  <si>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</si>
  <si>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</si>
  <si>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</si>
  <si>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</si>
  <si>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</si>
  <si>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</si>
  <si>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</si>
  <si>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</si>
  <si>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</si>
  <si>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</si>
  <si>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</si>
  <si>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</si>
  <si>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</si>
  <si>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</si>
  <si>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</si>
  <si>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</si>
  <si>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</si>
  <si>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</si>
  <si>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</si>
  <si>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</si>
  <si>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</si>
  <si>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</si>
  <si>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</si>
  <si>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History from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</si>
</sst>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2" fillId="2" borderId="0" xfId="0" applyFont="1" applyFill="1"/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16:06:55</v>
        <stp/>
        <stp>{DF9F90E8-4A4A-4274-9A6C-7EB28DB8D53F}_x0000_</stp>
        <tr r="A2" s="4"/>
      </tp>
    </main>
    <main first="pldatasource.trrtdserver">
      <tp t="s">
        <v>Updated at 11:36:16</v>
        <stp/>
        <stp>{4E23D772-A754-4538-A22B-841597362075}_x0000_</stp>
        <tr r="G3" s="3"/>
      </tp>
      <tp t="s">
        <v>Updated at 11:36:15</v>
        <stp/>
        <stp>{7576CE56-6009-4752-AFAE-6ED4805B041B}_x0000_</stp>
        <tr r="Q3" s="3"/>
      </tp>
      <tp t="s">
        <v>Updated at 11:36:15</v>
        <stp/>
        <stp>{5C486A03-E249-47CF-861C-E15366B2E56B}_x0000_</stp>
        <tr r="L3" s="3"/>
      </tp>
      <tp t="s">
        <v>Updated at 11:36:16</v>
        <stp/>
        <stp>{95978E08-057F-48A6-809E-00BB2B104185}_x0000_</stp>
        <tr r="T3" s="3"/>
      </tp>
      <tp t="s">
        <v>Updated at 11:36:16</v>
        <stp/>
        <stp>{D4661227-1787-4323-AEB6-F51661613B90}_x0000_</stp>
        <tr r="O3" s="3"/>
      </tp>
      <tp t="s">
        <v>Updated at 11:36:16</v>
        <stp/>
        <stp>{275C3A82-FEED-4D07-970F-1E514BCD059F}_x0000_</stp>
        <tr r="X3" s="3"/>
      </tp>
      <tp t="s">
        <v>Updated at 11:36:16</v>
        <stp/>
        <stp>{51EA136B-BA4A-4D7D-A28B-0B6896DD7E17}_x0000_</stp>
        <tr r="V3" s="3"/>
      </tp>
      <tp t="s">
        <v>Updated at 11:36:16</v>
        <stp/>
        <stp>{EC572281-C84F-48FD-9624-BAE20E12BA65}_x0000_</stp>
        <tr r="I3" s="3"/>
      </tp>
      <tp t="s">
        <v>Updated at 11:36:15</v>
        <stp/>
        <stp>{2B12A8A5-0BDA-40BE-BAC4-8E642533BAA1}_x0000_</stp>
        <tr r="R3" s="3"/>
      </tp>
      <tp t="s">
        <v>Updated at 11:36:16</v>
        <stp/>
        <stp>{E37099AC-418F-4E69-959A-76BB14DD0DA4}_x0000_</stp>
        <tr r="E3" s="3"/>
      </tp>
      <tp t="s">
        <v>Updated at 11:36:15</v>
        <stp/>
        <stp>{1D04782A-11A6-4312-B0DD-AA15BC0165FA}_x0000_</stp>
        <tr r="K3" s="3"/>
      </tp>
      <tp t="s">
        <v>Updated at 11:36:16</v>
        <stp/>
        <stp>{29383EDC-E7A2-4DE0-A82A-51E94314BEF2}_x0000_</stp>
        <tr r="J3" s="3"/>
      </tp>
      <tp t="s">
        <v>Updated at 11:36:15</v>
        <stp/>
        <stp>{EE789795-CB41-44A9-8171-0A16122C9D2A}_x0000_</stp>
        <tr r="P3" s="3"/>
      </tp>
      <tp t="s">
        <v>Updated at 11:36:16</v>
        <stp/>
        <stp>{FFD748D5-4E5A-4ADC-82E4-C7F2FA306FFB}_x0000_</stp>
        <tr r="Y3" s="3"/>
      </tp>
      <tp t="s">
        <v>Updated at 11:36:15</v>
        <stp/>
        <stp>{AA720882-3807-426A-8FB8-A1ECA48A22F6}_x0000_</stp>
        <tr r="S3" s="3"/>
      </tp>
      <tp t="s">
        <v>Updated at 11:36:16</v>
        <stp/>
        <stp>{B9E26DAB-6C21-49C6-B787-6797A6AE738D}_x0000_</stp>
        <tr r="U3" s="3"/>
      </tp>
      <tp t="s">
        <v>Updated at 11:36:16</v>
        <stp/>
        <stp>{4DD367CB-3A89-400B-ACD8-5B678EEF3E0D}_x0000_</stp>
        <tr r="H3" s="3"/>
      </tp>
      <tp t="s">
        <v>Updated at 11:36:15</v>
        <stp/>
        <stp>{E8FE5F5B-6650-4422-86AF-13BC481E6293}_x0000_</stp>
        <tr r="N3" s="3"/>
      </tp>
      <tp t="s">
        <v>Updated at 11:36:15</v>
        <stp/>
        <stp>{6A19329E-3893-4A48-A9DE-5CBE6F11BB69}_x0000_</stp>
        <tr r="M3" s="3"/>
      </tp>
      <tp t="s">
        <v>Updated at 11:36:15</v>
        <stp/>
        <stp>{ECC355F2-3FED-4DF7-81E7-85A7A5A5BD63}_x0000_</stp>
        <tr r="W3" s="3"/>
      </tp>
    </main>
    <main first="pldatasource.rhistoryrtdserver">
      <tp t="s">
        <v>Updated at 16:06:56</v>
        <stp/>
        <stp>{A59E2EA3-5DFF-4082-9D62-99BA1352AC37}_x0000_</stp>
        <tr r="A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75598050243719"/>
          <c:y val="6.944444444444444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</c:numCache>
            </c:numRef>
          </c:xVal>
          <c:yVal>
            <c:numRef>
              <c:f>main!$N$2:$N$735</c:f>
              <c:numCache>
                <c:formatCode>#\ ##0.0000000</c:formatCode>
                <c:ptCount val="73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D-4129-9964-37D4E4DEFAE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</c:numCache>
            </c:numRef>
          </c:xVal>
          <c:yVal>
            <c:numRef>
              <c:f>main!$O$2:$O$735</c:f>
              <c:numCache>
                <c:formatCode>#\ ##0.0000000</c:formatCode>
                <c:ptCount val="73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129-9964-37D4E4DEFAE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</c:numCache>
            </c:numRef>
          </c:xVal>
          <c:yVal>
            <c:numRef>
              <c:f>main!$P$2:$P$735</c:f>
              <c:numCache>
                <c:formatCode>#\ ##0.0000000</c:formatCode>
                <c:ptCount val="73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129-9964-37D4E4DEF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884072"/>
        <c:axId val="1063882104"/>
      </c:scatterChart>
      <c:valAx>
        <c:axId val="106388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3882104"/>
        <c:crosses val="autoZero"/>
        <c:crossBetween val="midCat"/>
      </c:valAx>
      <c:valAx>
        <c:axId val="106388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388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333375</xdr:colOff>
      <xdr:row>12</xdr:row>
      <xdr:rowOff>38100</xdr:rowOff>
    </xdr:from>
    <xdr:to>
      <xdr:col>11</xdr:col>
      <xdr:colOff>295275</xdr:colOff>
      <xdr:row>41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tabSelected="1" workbookViewId="0">
      <selection activeCell="B5" sqref="B5"/>
    </sheetView>
  </sheetViews>
  <sheetFormatPr defaultRowHeight="15" x14ac:dyDescent="0.25"/>
  <cols>
    <col min="1" max="1" width="16.85546875" customWidth="1"/>
    <col min="2" max="3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687</v>
      </c>
      <c r="B1" s="11"/>
      <c r="C1" s="11"/>
      <c r="L1" t="s">
        <v>749</v>
      </c>
      <c r="M1" s="2" t="s">
        <v>744</v>
      </c>
      <c r="N1" s="8" t="s">
        <v>746</v>
      </c>
      <c r="O1" s="8" t="s">
        <v>747</v>
      </c>
      <c r="P1" s="8" t="s">
        <v>748</v>
      </c>
      <c r="Q1" s="9" t="s">
        <v>761</v>
      </c>
      <c r="R1" s="9" t="s">
        <v>762</v>
      </c>
      <c r="S1" s="9" t="s">
        <v>742</v>
      </c>
      <c r="T1" s="8" t="s">
        <v>745</v>
      </c>
      <c r="U1" s="9" t="s">
        <v>745</v>
      </c>
      <c r="V1" s="8" t="s">
        <v>743</v>
      </c>
    </row>
    <row r="2" spans="1:25" x14ac:dyDescent="0.25">
      <c r="A2" s="12" t="s">
        <v>1</v>
      </c>
      <c r="M2" s="2"/>
      <c r="V2" s="3"/>
      <c r="W2" s="3"/>
      <c r="X2" s="3"/>
    </row>
    <row r="3" spans="1:25" x14ac:dyDescent="0.25">
      <c r="A3" s="12" t="s">
        <v>0</v>
      </c>
      <c r="B3" t="s">
        <v>652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763</v>
      </c>
      <c r="B5" s="4">
        <v>10</v>
      </c>
      <c r="L5" s="4"/>
      <c r="M5" s="2"/>
    </row>
    <row r="6" spans="1:25" x14ac:dyDescent="0.25">
      <c r="A6" s="12" t="s">
        <v>764</v>
      </c>
      <c r="B6" s="2">
        <f>bid!B3</f>
        <v>43979</v>
      </c>
      <c r="L6" s="4"/>
      <c r="M6" s="2"/>
    </row>
    <row r="7" spans="1:25" x14ac:dyDescent="0.25">
      <c r="A7" s="12" t="s">
        <v>751</v>
      </c>
      <c r="B7">
        <v>2</v>
      </c>
      <c r="L7" s="4"/>
      <c r="M7" s="2"/>
    </row>
    <row r="8" spans="1:25" x14ac:dyDescent="0.25">
      <c r="L8" s="4"/>
      <c r="M8" s="2"/>
    </row>
    <row r="9" spans="1:25" x14ac:dyDescent="0.25">
      <c r="L9" s="4"/>
      <c r="M9" s="2"/>
    </row>
    <row r="10" spans="1:25" x14ac:dyDescent="0.25">
      <c r="L10" s="4"/>
      <c r="M10" s="2"/>
      <c r="X10" s="5"/>
    </row>
    <row r="11" spans="1:25" x14ac:dyDescent="0.25">
      <c r="L11" s="4"/>
      <c r="M11" s="2"/>
    </row>
    <row r="12" spans="1:25" x14ac:dyDescent="0.25"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12:25" x14ac:dyDescent="0.25">
      <c r="L17" s="4"/>
      <c r="M17" s="2"/>
      <c r="Y17">
        <v>734</v>
      </c>
    </row>
    <row r="18" spans="12:25" x14ac:dyDescent="0.25">
      <c r="L18" s="4"/>
      <c r="M18" s="2"/>
      <c r="Y18">
        <f>Y17+734-1</f>
        <v>1467</v>
      </c>
    </row>
    <row r="19" spans="12:25" x14ac:dyDescent="0.25">
      <c r="L19" s="4"/>
      <c r="M19" s="2"/>
      <c r="Y19">
        <f>2*734</f>
        <v>1468</v>
      </c>
    </row>
    <row r="20" spans="12:25" x14ac:dyDescent="0.25">
      <c r="L20" s="4"/>
      <c r="M20" s="2"/>
      <c r="Y20">
        <f>2*734+734-1</f>
        <v>2201</v>
      </c>
    </row>
    <row r="21" spans="12:25" x14ac:dyDescent="0.25">
      <c r="L21" s="4"/>
      <c r="M21" s="2"/>
    </row>
    <row r="22" spans="12:25" x14ac:dyDescent="0.25">
      <c r="L22" s="4"/>
      <c r="M22" s="2"/>
    </row>
    <row r="23" spans="12:25" x14ac:dyDescent="0.25">
      <c r="L23" s="4"/>
      <c r="M23" s="2"/>
    </row>
    <row r="24" spans="12:25" x14ac:dyDescent="0.25">
      <c r="L24" s="4"/>
      <c r="M24" s="2"/>
    </row>
    <row r="25" spans="12:25" x14ac:dyDescent="0.25">
      <c r="L25" s="4"/>
      <c r="M25" s="2"/>
    </row>
    <row r="26" spans="12:25" x14ac:dyDescent="0.25">
      <c r="L26" s="4"/>
      <c r="M26" s="2"/>
    </row>
    <row r="27" spans="12:25" x14ac:dyDescent="0.25">
      <c r="L27" s="4"/>
      <c r="M27" s="2"/>
    </row>
    <row r="28" spans="12:25" x14ac:dyDescent="0.25">
      <c r="L28" s="4"/>
      <c r="M28" s="2"/>
    </row>
    <row r="29" spans="12:25" x14ac:dyDescent="0.25">
      <c r="L29" s="4"/>
      <c r="M29" s="2"/>
    </row>
    <row r="30" spans="12:25" x14ac:dyDescent="0.25">
      <c r="L30" s="4"/>
      <c r="M30" s="2"/>
    </row>
    <row r="31" spans="12:25" x14ac:dyDescent="0.25">
      <c r="L31" s="4"/>
      <c r="M31" s="2"/>
    </row>
    <row r="32" spans="12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settings!$H$2:$H$8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settings!$N$2:$N$5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N8"/>
  <sheetViews>
    <sheetView workbookViewId="0">
      <selection activeCell="I12" sqref="I12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8" max="8" width="8" bestFit="1" customWidth="1"/>
    <col min="9" max="9" width="14.140625" bestFit="1" customWidth="1"/>
    <col min="10" max="10" width="14.28515625" bestFit="1" customWidth="1"/>
    <col min="11" max="11" width="12" bestFit="1" customWidth="1"/>
    <col min="13" max="13" width="10.140625" bestFit="1" customWidth="1"/>
  </cols>
  <sheetData>
    <row r="1" spans="1:14" x14ac:dyDescent="0.25">
      <c r="A1" t="s">
        <v>1</v>
      </c>
      <c r="B1" t="s">
        <v>4</v>
      </c>
      <c r="C1" t="s">
        <v>2</v>
      </c>
      <c r="D1" t="s">
        <v>678</v>
      </c>
      <c r="E1" t="s">
        <v>3</v>
      </c>
      <c r="G1" t="s">
        <v>0</v>
      </c>
      <c r="H1" t="s">
        <v>4</v>
      </c>
      <c r="I1" t="s">
        <v>5</v>
      </c>
      <c r="J1" t="s">
        <v>6</v>
      </c>
      <c r="K1" t="s">
        <v>658</v>
      </c>
      <c r="M1" s="10" t="s">
        <v>752</v>
      </c>
      <c r="N1" s="10" t="s">
        <v>750</v>
      </c>
    </row>
    <row r="2" spans="1:14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G2">
        <f>COUNTA(H:H)-1</f>
        <v>7</v>
      </c>
      <c r="H2" t="s">
        <v>650</v>
      </c>
      <c r="I2" t="s">
        <v>12</v>
      </c>
      <c r="J2" t="s">
        <v>7</v>
      </c>
      <c r="K2" t="s">
        <v>259</v>
      </c>
      <c r="M2">
        <f>COUNTA(N:N)-1</f>
        <v>4</v>
      </c>
      <c r="N2">
        <v>1</v>
      </c>
    </row>
    <row r="3" spans="1:14" x14ac:dyDescent="0.25">
      <c r="B3" t="s">
        <v>651</v>
      </c>
      <c r="C3" t="s">
        <v>9</v>
      </c>
      <c r="D3" t="s">
        <v>680</v>
      </c>
      <c r="E3" t="s">
        <v>8</v>
      </c>
      <c r="H3" t="s">
        <v>651</v>
      </c>
      <c r="I3" t="s">
        <v>9</v>
      </c>
      <c r="J3" t="s">
        <v>12</v>
      </c>
      <c r="K3" t="s">
        <v>415</v>
      </c>
      <c r="N3">
        <v>2</v>
      </c>
    </row>
    <row r="4" spans="1:14" x14ac:dyDescent="0.25">
      <c r="B4" t="s">
        <v>653</v>
      </c>
      <c r="C4" t="s">
        <v>11</v>
      </c>
      <c r="D4" t="s">
        <v>681</v>
      </c>
      <c r="E4" t="s">
        <v>33</v>
      </c>
      <c r="H4" t="s">
        <v>653</v>
      </c>
      <c r="I4" t="s">
        <v>11</v>
      </c>
      <c r="J4" t="s">
        <v>12</v>
      </c>
      <c r="K4" t="s">
        <v>416</v>
      </c>
      <c r="N4">
        <v>5</v>
      </c>
    </row>
    <row r="5" spans="1:14" x14ac:dyDescent="0.25">
      <c r="B5" t="s">
        <v>652</v>
      </c>
      <c r="C5" t="s">
        <v>10</v>
      </c>
      <c r="D5" t="s">
        <v>682</v>
      </c>
      <c r="E5" t="s">
        <v>32</v>
      </c>
      <c r="H5" t="s">
        <v>652</v>
      </c>
      <c r="I5" t="s">
        <v>12</v>
      </c>
      <c r="J5" t="s">
        <v>10</v>
      </c>
      <c r="K5" t="s">
        <v>418</v>
      </c>
      <c r="N5">
        <v>10</v>
      </c>
    </row>
    <row r="6" spans="1:14" x14ac:dyDescent="0.25">
      <c r="B6" t="s">
        <v>654</v>
      </c>
      <c r="C6" t="s">
        <v>659</v>
      </c>
      <c r="D6" t="s">
        <v>683</v>
      </c>
      <c r="E6" t="s">
        <v>34</v>
      </c>
      <c r="H6" t="s">
        <v>655</v>
      </c>
      <c r="I6" t="s">
        <v>9</v>
      </c>
      <c r="J6" t="s">
        <v>7</v>
      </c>
      <c r="K6" t="s">
        <v>419</v>
      </c>
    </row>
    <row r="7" spans="1:14" x14ac:dyDescent="0.25">
      <c r="H7" t="s">
        <v>656</v>
      </c>
      <c r="I7" t="s">
        <v>9</v>
      </c>
      <c r="J7" t="s">
        <v>11</v>
      </c>
      <c r="K7" t="s">
        <v>420</v>
      </c>
    </row>
    <row r="8" spans="1:14" x14ac:dyDescent="0.25">
      <c r="H8" t="s">
        <v>657</v>
      </c>
      <c r="I8" t="s">
        <v>9</v>
      </c>
      <c r="J8" t="s">
        <v>32</v>
      </c>
      <c r="K8" t="s">
        <v>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H3" sqref="H3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>COUNTA(B4:B200)</f>
        <v>9</v>
      </c>
      <c r="C2">
        <f t="shared" ref="C2:F2" si="0">COUNTA(C4:C200)</f>
        <v>12</v>
      </c>
      <c r="D2">
        <f t="shared" si="0"/>
        <v>11</v>
      </c>
      <c r="E2">
        <f t="shared" si="0"/>
        <v>15</v>
      </c>
      <c r="F2">
        <f t="shared" si="0"/>
        <v>16</v>
      </c>
      <c r="G2">
        <f>COUNTA(G4:G200)</f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741</v>
      </c>
      <c r="C3" t="s">
        <v>741</v>
      </c>
      <c r="D3" t="s">
        <v>741</v>
      </c>
      <c r="E3" t="str">
        <f>_xll.TR(E1,"","CH=Fd RH=IN",E4)</f>
        <v>Updated at 11:36:16</v>
      </c>
      <c r="F3" t="s">
        <v>741</v>
      </c>
      <c r="G3" t="str">
        <f>_xll.TR(G1,"","CH=Fd RH=IN",G4)</f>
        <v>Updated at 11:36:16</v>
      </c>
      <c r="H3" t="str">
        <f>_xll.TR(H1,"","CH=Fd RH=IN",H4)</f>
        <v>Updated at 11:36:16</v>
      </c>
      <c r="I3" t="str">
        <f>_xll.TR(I1,"","CH=Fd RH=IN",I4)</f>
        <v>Updated at 11:36:16</v>
      </c>
      <c r="J3" t="str">
        <f>_xll.TR(J1,"","CH=Fd RH=IN",J4)</f>
        <v>Updated at 11:36:16</v>
      </c>
      <c r="K3" t="str">
        <f>_xll.TR(K1,"","CH=Fd RH=IN",K4)</f>
        <v>Updated at 11:36:15</v>
      </c>
      <c r="L3" t="str">
        <f>_xll.TR(L1,"","CH=Fd RH=IN",L4)</f>
        <v>Updated at 11:36:15</v>
      </c>
      <c r="M3" t="str">
        <f>_xll.TR(M1,"","CH=Fd RH=IN",M4)</f>
        <v>Updated at 11:36:15</v>
      </c>
      <c r="N3" t="str">
        <f>_xll.TR(N1,"","CH=Fd RH=IN",N4)</f>
        <v>Updated at 11:36:15</v>
      </c>
      <c r="O3" t="str">
        <f>_xll.TR(O1,"","CH=Fd RH=IN",O4)</f>
        <v>Updated at 11:36:16</v>
      </c>
      <c r="P3" t="str">
        <f>_xll.TR(P1,"","CH=Fd RH=IN",P4)</f>
        <v>Updated at 11:36:15</v>
      </c>
      <c r="Q3" t="str">
        <f>_xll.TR(Q1,"","CH=Fd RH=IN",Q4)</f>
        <v>Updated at 11:36:15</v>
      </c>
      <c r="R3" t="str">
        <f>_xll.TR(R1,"","CH=Fd RH=IN",R4)</f>
        <v>Updated at 11:36:15</v>
      </c>
      <c r="S3" t="str">
        <f>_xll.TR(S1,"","CH=Fd RH=IN",S4)</f>
        <v>Updated at 11:36:15</v>
      </c>
      <c r="T3" t="str">
        <f>_xll.TR(T1,"","CH=Fd RH=IN",T4)</f>
        <v>Updated at 11:36:16</v>
      </c>
      <c r="U3" t="str">
        <f>_xll.TR(U1,"","CH=Fd RH=IN",U4)</f>
        <v>Updated at 11:36:16</v>
      </c>
      <c r="V3" t="str">
        <f>_xll.TR(V1,"","CH=Fd RH=IN",V4)</f>
        <v>Updated at 11:36:16</v>
      </c>
      <c r="W3" t="str">
        <f>_xll.TR(W1,"","CH=Fd RH=IN",W4)</f>
        <v>Updated at 11:36:15</v>
      </c>
      <c r="X3" t="str">
        <f>_xll.TR(X1,"","CH=Fd RH=IN",X4)</f>
        <v>Updated at 11:36:16</v>
      </c>
      <c r="Y3" t="str">
        <f>_xll.TR(Y1,"","CH=Fd RH=IN",Y4)</f>
        <v>Updated at 11:36:16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688</v>
      </c>
      <c r="C6" s="1" t="s">
        <v>695</v>
      </c>
      <c r="D6" s="1" t="s">
        <v>705</v>
      </c>
      <c r="E6" s="1" t="s">
        <v>714</v>
      </c>
      <c r="F6" s="1" t="s">
        <v>727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689</v>
      </c>
      <c r="C7" s="1" t="s">
        <v>696</v>
      </c>
      <c r="D7" s="1" t="s">
        <v>706</v>
      </c>
      <c r="E7" s="1" t="s">
        <v>715</v>
      </c>
      <c r="F7" s="1" t="s">
        <v>728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690</v>
      </c>
      <c r="C8" s="1" t="s">
        <v>697</v>
      </c>
      <c r="D8" s="1" t="s">
        <v>707</v>
      </c>
      <c r="E8" s="1" t="s">
        <v>716</v>
      </c>
      <c r="F8" s="1" t="s">
        <v>729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691</v>
      </c>
      <c r="C9" s="1" t="s">
        <v>698</v>
      </c>
      <c r="D9" s="1" t="s">
        <v>708</v>
      </c>
      <c r="E9" s="1" t="s">
        <v>717</v>
      </c>
      <c r="F9" s="1" t="s">
        <v>730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692</v>
      </c>
      <c r="C10" s="1" t="s">
        <v>699</v>
      </c>
      <c r="D10" s="1" t="s">
        <v>709</v>
      </c>
      <c r="E10" s="1" t="s">
        <v>718</v>
      </c>
      <c r="F10" s="1" t="s">
        <v>731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693</v>
      </c>
      <c r="C11" s="1" t="s">
        <v>700</v>
      </c>
      <c r="D11" s="1" t="s">
        <v>710</v>
      </c>
      <c r="E11" s="1" t="s">
        <v>719</v>
      </c>
      <c r="F11" s="1" t="s">
        <v>732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694</v>
      </c>
      <c r="C12" s="1" t="s">
        <v>701</v>
      </c>
      <c r="D12" s="1" t="s">
        <v>711</v>
      </c>
      <c r="E12" s="1" t="s">
        <v>720</v>
      </c>
      <c r="F12" s="1" t="s">
        <v>733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702</v>
      </c>
      <c r="D13" s="1" t="s">
        <v>712</v>
      </c>
      <c r="E13" s="1" t="s">
        <v>721</v>
      </c>
      <c r="F13" s="1" t="s">
        <v>734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703</v>
      </c>
      <c r="D14" s="1" t="s">
        <v>713</v>
      </c>
      <c r="E14" s="1" t="s">
        <v>722</v>
      </c>
      <c r="F14" s="1" t="s">
        <v>735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704</v>
      </c>
      <c r="D15" s="1"/>
      <c r="E15" s="1" t="s">
        <v>723</v>
      </c>
      <c r="F15" s="1" t="s">
        <v>736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724</v>
      </c>
      <c r="F16" s="1" t="s">
        <v>737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725</v>
      </c>
      <c r="F17" s="1" t="s">
        <v>738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726</v>
      </c>
      <c r="F18" s="1" t="s">
        <v>739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 t="s">
        <v>740</v>
      </c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O12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</cols>
  <sheetData>
    <row r="1" spans="1:67" x14ac:dyDescent="0.25">
      <c r="A1">
        <v>10</v>
      </c>
      <c r="B1">
        <v>65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_xll.RHistory($C$1:$BO$1,"BID.TIMESTAMP;BID.CLOSE","NBROWS:10 INTERVAL:1D",,"CH:Fd TSREPEAT:NO SORT:ASC",$B$2)</f>
        <v>Updated at 16:06:55</v>
      </c>
      <c r="B2" t="s">
        <v>684</v>
      </c>
      <c r="C2" t="s">
        <v>685</v>
      </c>
      <c r="D2" t="s">
        <v>685</v>
      </c>
      <c r="E2" t="s">
        <v>685</v>
      </c>
      <c r="F2" t="s">
        <v>685</v>
      </c>
      <c r="G2" t="s">
        <v>685</v>
      </c>
      <c r="H2" t="s">
        <v>685</v>
      </c>
      <c r="I2" t="s">
        <v>685</v>
      </c>
      <c r="J2" t="s">
        <v>685</v>
      </c>
      <c r="K2" t="s">
        <v>685</v>
      </c>
      <c r="L2" t="s">
        <v>685</v>
      </c>
      <c r="M2" t="s">
        <v>685</v>
      </c>
      <c r="N2" t="s">
        <v>685</v>
      </c>
      <c r="O2" t="s">
        <v>685</v>
      </c>
      <c r="P2" t="s">
        <v>685</v>
      </c>
      <c r="Q2" t="s">
        <v>685</v>
      </c>
      <c r="R2" t="s">
        <v>685</v>
      </c>
      <c r="S2" t="s">
        <v>685</v>
      </c>
      <c r="T2" t="s">
        <v>685</v>
      </c>
      <c r="U2" t="s">
        <v>685</v>
      </c>
      <c r="V2" t="s">
        <v>685</v>
      </c>
      <c r="W2" t="s">
        <v>685</v>
      </c>
      <c r="X2" t="s">
        <v>685</v>
      </c>
      <c r="Y2" t="s">
        <v>685</v>
      </c>
      <c r="Z2" t="s">
        <v>685</v>
      </c>
      <c r="AA2" t="s">
        <v>685</v>
      </c>
      <c r="AB2" t="s">
        <v>685</v>
      </c>
      <c r="AC2" t="s">
        <v>685</v>
      </c>
      <c r="AD2" t="s">
        <v>685</v>
      </c>
      <c r="AE2" t="s">
        <v>685</v>
      </c>
      <c r="AF2" t="s">
        <v>685</v>
      </c>
      <c r="AG2" t="s">
        <v>685</v>
      </c>
      <c r="AH2" t="s">
        <v>685</v>
      </c>
      <c r="AI2" t="s">
        <v>685</v>
      </c>
      <c r="AJ2" t="s">
        <v>685</v>
      </c>
      <c r="AK2" t="s">
        <v>685</v>
      </c>
      <c r="AL2" t="s">
        <v>685</v>
      </c>
      <c r="AM2" t="s">
        <v>685</v>
      </c>
      <c r="AN2" t="s">
        <v>685</v>
      </c>
      <c r="AO2" t="s">
        <v>685</v>
      </c>
      <c r="AP2" t="s">
        <v>685</v>
      </c>
      <c r="AQ2" t="s">
        <v>685</v>
      </c>
      <c r="AR2" t="s">
        <v>685</v>
      </c>
      <c r="AS2" t="s">
        <v>685</v>
      </c>
      <c r="AT2" t="s">
        <v>685</v>
      </c>
      <c r="AU2" t="s">
        <v>685</v>
      </c>
      <c r="AV2" t="s">
        <v>685</v>
      </c>
      <c r="AW2" t="s">
        <v>685</v>
      </c>
      <c r="AX2" t="s">
        <v>685</v>
      </c>
      <c r="AY2" t="s">
        <v>685</v>
      </c>
      <c r="AZ2" t="s">
        <v>685</v>
      </c>
      <c r="BA2" t="s">
        <v>685</v>
      </c>
      <c r="BB2" t="s">
        <v>685</v>
      </c>
      <c r="BC2" t="s">
        <v>685</v>
      </c>
      <c r="BD2" t="s">
        <v>685</v>
      </c>
      <c r="BE2" t="s">
        <v>685</v>
      </c>
      <c r="BF2" t="s">
        <v>685</v>
      </c>
      <c r="BG2" t="s">
        <v>685</v>
      </c>
      <c r="BH2" t="s">
        <v>685</v>
      </c>
      <c r="BI2" t="s">
        <v>685</v>
      </c>
      <c r="BJ2" t="s">
        <v>685</v>
      </c>
      <c r="BK2" t="s">
        <v>685</v>
      </c>
      <c r="BL2" t="s">
        <v>685</v>
      </c>
      <c r="BM2" t="s">
        <v>685</v>
      </c>
      <c r="BN2" t="s">
        <v>685</v>
      </c>
      <c r="BO2" t="s">
        <v>685</v>
      </c>
    </row>
    <row r="3" spans="1:67" x14ac:dyDescent="0.25">
      <c r="B3" s="2">
        <v>43979</v>
      </c>
      <c r="C3">
        <v>3.4000000000000002E-2</v>
      </c>
      <c r="D3">
        <v>4.4999999999999998E-2</v>
      </c>
      <c r="E3">
        <v>3.5000000000000003E-2</v>
      </c>
      <c r="F3">
        <v>4.3999999999999997E-2</v>
      </c>
      <c r="G3">
        <v>2.5000000000000001E-2</v>
      </c>
      <c r="H3">
        <v>3.7999999999999999E-2</v>
      </c>
      <c r="I3">
        <v>2.1000000000000001E-2</v>
      </c>
      <c r="J3">
        <v>1.9E-2</v>
      </c>
      <c r="K3">
        <v>2.5000000000000001E-2</v>
      </c>
      <c r="L3">
        <v>1.4E-2</v>
      </c>
      <c r="M3">
        <v>2.5999999999999999E-2</v>
      </c>
      <c r="N3">
        <v>0.01</v>
      </c>
      <c r="O3">
        <v>-6.0000000000000001E-3</v>
      </c>
      <c r="P3">
        <v>-1.4999999999999999E-2</v>
      </c>
      <c r="Q3">
        <v>-1.2E-2</v>
      </c>
      <c r="R3">
        <v>-1.7999999999999999E-2</v>
      </c>
      <c r="S3">
        <v>-3.9E-2</v>
      </c>
      <c r="T3">
        <v>-8.6999999999999994E-2</v>
      </c>
      <c r="U3">
        <v>-9.8000000000000004E-2</v>
      </c>
      <c r="V3">
        <v>-0.114</v>
      </c>
      <c r="W3">
        <v>-7.6999999999999999E-2</v>
      </c>
      <c r="X3">
        <v>-6.5000000000000002E-2</v>
      </c>
      <c r="Y3">
        <v>-0.01</v>
      </c>
      <c r="Z3">
        <v>0.03</v>
      </c>
      <c r="AA3">
        <v>9.1999999999999998E-2</v>
      </c>
      <c r="AB3">
        <v>0.14000000000000001</v>
      </c>
      <c r="AC3">
        <v>0.187</v>
      </c>
      <c r="AD3">
        <v>0.23400000000000001</v>
      </c>
      <c r="AE3">
        <v>0.28999999999999998</v>
      </c>
      <c r="AF3">
        <v>0.38</v>
      </c>
      <c r="AG3">
        <v>0.47599999999999998</v>
      </c>
      <c r="AH3">
        <v>0.38500000000000001</v>
      </c>
      <c r="AI3">
        <v>0.39400000000000002</v>
      </c>
      <c r="AJ3">
        <v>9.5128000000000004</v>
      </c>
      <c r="AK3">
        <v>-1.64</v>
      </c>
      <c r="AL3">
        <v>-3.47</v>
      </c>
      <c r="AM3">
        <v>-2.58</v>
      </c>
      <c r="AN3">
        <v>-6.11</v>
      </c>
      <c r="AO3">
        <v>-11.72</v>
      </c>
      <c r="AP3">
        <v>-16.940000000000001</v>
      </c>
      <c r="AQ3">
        <v>-28.05</v>
      </c>
      <c r="AR3">
        <v>-57.55</v>
      </c>
      <c r="AS3">
        <v>-84.1</v>
      </c>
      <c r="AT3">
        <v>-111.05</v>
      </c>
      <c r="AU3">
        <v>-132.94999999999999</v>
      </c>
      <c r="AV3">
        <v>-169.18</v>
      </c>
      <c r="AW3">
        <v>-224.8</v>
      </c>
      <c r="AX3">
        <v>-249.1</v>
      </c>
      <c r="AY3">
        <v>-273.60000000000002</v>
      </c>
      <c r="AZ3">
        <v>-303.68</v>
      </c>
      <c r="BA3">
        <v>-330.32</v>
      </c>
      <c r="BB3">
        <v>-350.2</v>
      </c>
      <c r="BC3">
        <v>-424.1</v>
      </c>
      <c r="BD3">
        <v>-495.7</v>
      </c>
      <c r="BE3">
        <v>-580.9</v>
      </c>
      <c r="BF3">
        <v>-662</v>
      </c>
      <c r="BG3">
        <v>-803.6</v>
      </c>
      <c r="BH3">
        <v>-965.9</v>
      </c>
      <c r="BI3">
        <v>-1280.1500000000001</v>
      </c>
      <c r="BJ3">
        <v>-1728.9</v>
      </c>
      <c r="BK3">
        <v>-2112</v>
      </c>
      <c r="BL3">
        <v>-2491</v>
      </c>
      <c r="BM3">
        <v>-2856</v>
      </c>
      <c r="BN3">
        <v>-3149</v>
      </c>
      <c r="BO3">
        <v>-3406</v>
      </c>
    </row>
    <row r="4" spans="1:67" x14ac:dyDescent="0.25">
      <c r="B4" s="2">
        <v>43980</v>
      </c>
      <c r="C4">
        <v>4.1000000000000002E-2</v>
      </c>
      <c r="D4">
        <v>4.1000000000000002E-2</v>
      </c>
      <c r="E4">
        <v>2.5999999999999999E-2</v>
      </c>
      <c r="F4">
        <v>3.9E-2</v>
      </c>
      <c r="G4">
        <v>3.5000000000000003E-2</v>
      </c>
      <c r="H4">
        <v>1.7000000000000001E-2</v>
      </c>
      <c r="I4">
        <v>1.4999999999999999E-2</v>
      </c>
      <c r="J4">
        <v>2.8000000000000001E-2</v>
      </c>
      <c r="K4">
        <v>2.1000000000000001E-2</v>
      </c>
      <c r="L4">
        <v>0.02</v>
      </c>
      <c r="M4">
        <v>1.4999999999999999E-2</v>
      </c>
      <c r="N4">
        <v>1.4999999999999999E-2</v>
      </c>
      <c r="O4">
        <v>-6.0000000000000001E-3</v>
      </c>
      <c r="P4">
        <v>-1.6E-2</v>
      </c>
      <c r="Q4">
        <v>-1.2999999999999999E-2</v>
      </c>
      <c r="R4">
        <v>-1.7999999999999999E-2</v>
      </c>
      <c r="S4">
        <v>-7.4999999999999997E-2</v>
      </c>
      <c r="T4">
        <v>-9.5000000000000001E-2</v>
      </c>
      <c r="U4">
        <v>-0.105</v>
      </c>
      <c r="V4">
        <v>-0.12</v>
      </c>
      <c r="W4">
        <v>-9.2999999999999999E-2</v>
      </c>
      <c r="X4">
        <v>-3.4000000000000002E-2</v>
      </c>
      <c r="Y4">
        <v>-0.01</v>
      </c>
      <c r="Z4">
        <v>0.03</v>
      </c>
      <c r="AA4">
        <v>7.0000000000000007E-2</v>
      </c>
      <c r="AB4">
        <v>0.115</v>
      </c>
      <c r="AC4">
        <v>0.16</v>
      </c>
      <c r="AD4">
        <v>0.20499999999999999</v>
      </c>
      <c r="AE4">
        <v>0.28499999999999998</v>
      </c>
      <c r="AF4">
        <v>0.375</v>
      </c>
      <c r="AG4">
        <v>0.41</v>
      </c>
      <c r="AH4">
        <v>0.38</v>
      </c>
      <c r="AI4">
        <v>0.30499999999999999</v>
      </c>
      <c r="AJ4">
        <v>9.4085000000000001</v>
      </c>
      <c r="AK4">
        <v>-4.09</v>
      </c>
      <c r="AL4">
        <v>-1.26</v>
      </c>
      <c r="AM4">
        <v>-1.1499999999999999</v>
      </c>
      <c r="AN4">
        <v>-9.5</v>
      </c>
      <c r="AO4">
        <v>-12.4</v>
      </c>
      <c r="AP4">
        <v>-18.2</v>
      </c>
      <c r="AQ4">
        <v>-34.92</v>
      </c>
      <c r="AR4">
        <v>-63.66</v>
      </c>
      <c r="AS4">
        <v>-93.11</v>
      </c>
      <c r="AT4">
        <v>-114.93</v>
      </c>
      <c r="AU4">
        <v>-135.75</v>
      </c>
      <c r="AV4">
        <v>-168.7</v>
      </c>
      <c r="AW4">
        <v>-223.15</v>
      </c>
      <c r="AX4">
        <v>-247</v>
      </c>
      <c r="AY4">
        <v>-283.88</v>
      </c>
      <c r="AZ4">
        <v>-303.02</v>
      </c>
      <c r="BA4">
        <v>-325.45</v>
      </c>
      <c r="BB4">
        <v>-366.44</v>
      </c>
      <c r="BC4">
        <v>-419.28</v>
      </c>
      <c r="BD4">
        <v>-484.23</v>
      </c>
      <c r="BE4">
        <v>-562.5</v>
      </c>
      <c r="BF4">
        <v>-628.24</v>
      </c>
      <c r="BG4">
        <v>-762</v>
      </c>
      <c r="BH4">
        <v>-934.99</v>
      </c>
      <c r="BI4">
        <v>-1242.46</v>
      </c>
      <c r="BJ4">
        <v>-1565.55</v>
      </c>
      <c r="BK4">
        <v>-2143</v>
      </c>
      <c r="BL4">
        <v>-2522</v>
      </c>
      <c r="BM4">
        <v>-2861</v>
      </c>
      <c r="BN4">
        <v>-3131</v>
      </c>
      <c r="BO4">
        <v>-3327</v>
      </c>
    </row>
    <row r="5" spans="1:67" x14ac:dyDescent="0.25">
      <c r="B5" s="2">
        <v>43983</v>
      </c>
      <c r="C5">
        <v>3.2000000000000001E-2</v>
      </c>
      <c r="D5">
        <v>3.3000000000000002E-2</v>
      </c>
      <c r="E5">
        <v>2.7E-2</v>
      </c>
      <c r="F5">
        <v>0.04</v>
      </c>
      <c r="G5">
        <v>3.6999999999999998E-2</v>
      </c>
      <c r="H5">
        <v>1.9E-2</v>
      </c>
      <c r="I5">
        <v>1.6E-2</v>
      </c>
      <c r="J5">
        <v>1.2999999999999999E-2</v>
      </c>
      <c r="K5">
        <v>2.5000000000000001E-2</v>
      </c>
      <c r="L5">
        <v>1.9E-2</v>
      </c>
      <c r="M5">
        <v>1.6E-2</v>
      </c>
      <c r="N5">
        <v>1.2999999999999999E-2</v>
      </c>
      <c r="O5">
        <v>-1.2999999999999999E-2</v>
      </c>
      <c r="P5">
        <v>-0.02</v>
      </c>
      <c r="Q5">
        <v>-0.04</v>
      </c>
      <c r="R5">
        <v>-1.9E-2</v>
      </c>
      <c r="S5">
        <v>-0.04</v>
      </c>
      <c r="T5">
        <v>-8.7999999999999995E-2</v>
      </c>
      <c r="U5">
        <v>-0.115</v>
      </c>
      <c r="V5">
        <v>-0.105</v>
      </c>
      <c r="W5">
        <v>-6.9000000000000006E-2</v>
      </c>
      <c r="X5">
        <v>-2.7E-2</v>
      </c>
      <c r="Y5">
        <v>0.02</v>
      </c>
      <c r="Z5">
        <v>6.8000000000000005E-2</v>
      </c>
      <c r="AA5">
        <v>0.11799999999999999</v>
      </c>
      <c r="AB5">
        <v>0.16700000000000001</v>
      </c>
      <c r="AC5">
        <v>0.217</v>
      </c>
      <c r="AD5">
        <v>0.26600000000000001</v>
      </c>
      <c r="AE5">
        <v>0.31</v>
      </c>
      <c r="AF5">
        <v>0.4</v>
      </c>
      <c r="AG5">
        <v>0.52700000000000002</v>
      </c>
      <c r="AH5">
        <v>0.42</v>
      </c>
      <c r="AI5">
        <v>0.45300000000000001</v>
      </c>
      <c r="AJ5">
        <v>9.3513999999999999</v>
      </c>
      <c r="AK5">
        <v>-1.35</v>
      </c>
      <c r="AL5">
        <v>-1.23</v>
      </c>
      <c r="AM5">
        <v>-1.1499999999999999</v>
      </c>
      <c r="AN5">
        <v>-8.93</v>
      </c>
      <c r="AO5">
        <v>-12.32</v>
      </c>
      <c r="AP5">
        <v>-17.88</v>
      </c>
      <c r="AQ5">
        <v>-31.36</v>
      </c>
      <c r="AR5">
        <v>-63.59</v>
      </c>
      <c r="AS5">
        <v>-85.15</v>
      </c>
      <c r="AT5">
        <v>-114.05</v>
      </c>
      <c r="AU5">
        <v>-131.35</v>
      </c>
      <c r="AV5">
        <v>-163.43</v>
      </c>
      <c r="AW5">
        <v>-220.25</v>
      </c>
      <c r="AX5">
        <v>-244.05</v>
      </c>
      <c r="AY5">
        <v>-265.85000000000002</v>
      </c>
      <c r="AZ5">
        <v>-302.27</v>
      </c>
      <c r="BA5">
        <v>-329.52</v>
      </c>
      <c r="BB5">
        <v>-340.4</v>
      </c>
      <c r="BC5">
        <v>-409.7</v>
      </c>
      <c r="BD5">
        <v>-474.5</v>
      </c>
      <c r="BE5">
        <v>-553.4</v>
      </c>
      <c r="BF5">
        <v>-619.6</v>
      </c>
      <c r="BG5">
        <v>-751.6</v>
      </c>
      <c r="BH5">
        <v>-892.2</v>
      </c>
      <c r="BI5">
        <v>-1197.9000000000001</v>
      </c>
      <c r="BJ5">
        <v>-1551</v>
      </c>
      <c r="BK5">
        <v>-1874</v>
      </c>
      <c r="BL5">
        <v>-2068.5500000000002</v>
      </c>
      <c r="BM5">
        <v>-2513</v>
      </c>
      <c r="BN5">
        <v>-2770</v>
      </c>
      <c r="BO5">
        <v>-2927</v>
      </c>
    </row>
    <row r="6" spans="1:67" x14ac:dyDescent="0.25">
      <c r="B6" s="2">
        <v>43984</v>
      </c>
      <c r="C6">
        <v>3.5000000000000003E-2</v>
      </c>
      <c r="D6">
        <v>2.9000000000000001E-2</v>
      </c>
      <c r="E6">
        <v>2.9000000000000001E-2</v>
      </c>
      <c r="F6">
        <v>2.7E-2</v>
      </c>
      <c r="G6">
        <v>2.4E-2</v>
      </c>
      <c r="H6">
        <v>2.1000000000000001E-2</v>
      </c>
      <c r="I6">
        <v>1.9E-2</v>
      </c>
      <c r="J6">
        <v>1.6E-2</v>
      </c>
      <c r="K6">
        <v>1.4E-2</v>
      </c>
      <c r="L6">
        <v>2.4E-2</v>
      </c>
      <c r="M6">
        <v>2.1000000000000001E-2</v>
      </c>
      <c r="N6">
        <v>1.7999999999999999E-2</v>
      </c>
      <c r="O6">
        <v>-8.0000000000000002E-3</v>
      </c>
      <c r="P6">
        <v>-1.4999999999999999E-2</v>
      </c>
      <c r="Q6">
        <v>-0.03</v>
      </c>
      <c r="R6">
        <v>-5.5E-2</v>
      </c>
      <c r="S6">
        <v>-0.06</v>
      </c>
      <c r="T6">
        <v>-7.9000000000000001E-2</v>
      </c>
      <c r="U6">
        <v>-0.09</v>
      </c>
      <c r="V6">
        <v>-0.122</v>
      </c>
      <c r="W6">
        <v>-5.7000000000000002E-2</v>
      </c>
      <c r="X6">
        <v>-2.1000000000000001E-2</v>
      </c>
      <c r="Y6">
        <v>2.3E-2</v>
      </c>
      <c r="Z6">
        <v>6.7000000000000004E-2</v>
      </c>
      <c r="AA6">
        <v>0.112</v>
      </c>
      <c r="AB6">
        <v>0.159</v>
      </c>
      <c r="AC6">
        <v>0.20599999999999999</v>
      </c>
      <c r="AD6">
        <v>0.252</v>
      </c>
      <c r="AE6">
        <v>0.3</v>
      </c>
      <c r="AF6">
        <v>0.39</v>
      </c>
      <c r="AG6">
        <v>0.496</v>
      </c>
      <c r="AH6">
        <v>0.41</v>
      </c>
      <c r="AI6">
        <v>0.432</v>
      </c>
      <c r="AJ6">
        <v>9.3277000000000001</v>
      </c>
      <c r="AK6">
        <v>-1.35</v>
      </c>
      <c r="AL6">
        <v>-2.1800000000000002</v>
      </c>
      <c r="AM6">
        <v>-1.91</v>
      </c>
      <c r="AN6">
        <v>-9.5399999999999991</v>
      </c>
      <c r="AO6">
        <v>-12.64</v>
      </c>
      <c r="AP6">
        <v>-18.93</v>
      </c>
      <c r="AQ6">
        <v>-35.24</v>
      </c>
      <c r="AR6">
        <v>-66.38</v>
      </c>
      <c r="AS6">
        <v>-93.57</v>
      </c>
      <c r="AT6">
        <v>-115.95</v>
      </c>
      <c r="AU6">
        <v>-139.1</v>
      </c>
      <c r="AV6">
        <v>-172.12</v>
      </c>
      <c r="AW6">
        <v>-226.8</v>
      </c>
      <c r="AX6">
        <v>-251</v>
      </c>
      <c r="AY6">
        <v>-287.3</v>
      </c>
      <c r="AZ6">
        <v>-303.58999999999997</v>
      </c>
      <c r="BA6">
        <v>-327.64</v>
      </c>
      <c r="BB6">
        <v>-362.58</v>
      </c>
      <c r="BC6">
        <v>-413.1</v>
      </c>
      <c r="BD6">
        <v>-480.1</v>
      </c>
      <c r="BE6">
        <v>-545.4</v>
      </c>
      <c r="BF6">
        <v>-610.70000000000005</v>
      </c>
      <c r="BG6">
        <v>-710.6</v>
      </c>
      <c r="BH6">
        <v>-884.3</v>
      </c>
      <c r="BI6">
        <v>-1224.0999999999999</v>
      </c>
      <c r="BJ6">
        <v>-1504.16</v>
      </c>
      <c r="BK6">
        <v>-1960</v>
      </c>
      <c r="BL6">
        <v>-2216.66</v>
      </c>
      <c r="BM6">
        <v>-2717</v>
      </c>
      <c r="BN6">
        <v>-3003</v>
      </c>
      <c r="BO6">
        <v>-3210</v>
      </c>
    </row>
    <row r="7" spans="1:67" x14ac:dyDescent="0.25">
      <c r="B7" s="2">
        <v>43985</v>
      </c>
      <c r="C7">
        <v>3.6999999999999998E-2</v>
      </c>
      <c r="D7">
        <v>3.2000000000000001E-2</v>
      </c>
      <c r="E7">
        <v>3.3000000000000002E-2</v>
      </c>
      <c r="F7">
        <v>4.5999999999999999E-2</v>
      </c>
      <c r="G7">
        <v>4.2999999999999997E-2</v>
      </c>
      <c r="H7">
        <v>2.5000000000000001E-2</v>
      </c>
      <c r="I7">
        <v>3.9E-2</v>
      </c>
      <c r="J7">
        <v>2.1999999999999999E-2</v>
      </c>
      <c r="K7">
        <v>0.02</v>
      </c>
      <c r="L7">
        <v>3.2000000000000001E-2</v>
      </c>
      <c r="M7">
        <v>2.9000000000000001E-2</v>
      </c>
      <c r="N7">
        <v>2.7E-2</v>
      </c>
      <c r="O7">
        <v>-8.0000000000000002E-3</v>
      </c>
      <c r="P7">
        <v>-2.5000000000000001E-2</v>
      </c>
      <c r="Q7">
        <v>-3.1E-2</v>
      </c>
      <c r="R7">
        <v>-5.5E-2</v>
      </c>
      <c r="S7">
        <v>-7.4999999999999997E-2</v>
      </c>
      <c r="T7">
        <v>-9.5000000000000001E-2</v>
      </c>
      <c r="U7">
        <v>-0.105</v>
      </c>
      <c r="V7">
        <v>-0.111</v>
      </c>
      <c r="W7">
        <v>-5.2999999999999999E-2</v>
      </c>
      <c r="X7">
        <v>-7.0000000000000001E-3</v>
      </c>
      <c r="Y7">
        <v>4.3999999999999997E-2</v>
      </c>
      <c r="Z7">
        <v>9.6000000000000002E-2</v>
      </c>
      <c r="AA7">
        <v>0.14699999999999999</v>
      </c>
      <c r="AB7">
        <v>0.19700000000000001</v>
      </c>
      <c r="AC7">
        <v>0.247</v>
      </c>
      <c r="AD7">
        <v>0.29599999999999999</v>
      </c>
      <c r="AE7">
        <v>0.33500000000000002</v>
      </c>
      <c r="AF7">
        <v>0.43</v>
      </c>
      <c r="AG7">
        <v>0.54600000000000004</v>
      </c>
      <c r="AH7">
        <v>0.44500000000000001</v>
      </c>
      <c r="AI7">
        <v>0.48299999999999998</v>
      </c>
      <c r="AJ7">
        <v>9.282</v>
      </c>
      <c r="AK7">
        <v>-1.65</v>
      </c>
      <c r="AL7">
        <v>-1.69</v>
      </c>
      <c r="AM7">
        <v>-2.4</v>
      </c>
      <c r="AN7">
        <v>-9.3000000000000007</v>
      </c>
      <c r="AO7">
        <v>-14.11</v>
      </c>
      <c r="AP7">
        <v>-18.920000000000002</v>
      </c>
      <c r="AQ7">
        <v>-40.72</v>
      </c>
      <c r="AR7">
        <v>-63.85</v>
      </c>
      <c r="AS7">
        <v>-99.95</v>
      </c>
      <c r="AT7">
        <v>-125.63</v>
      </c>
      <c r="AU7">
        <v>-153.44999999999999</v>
      </c>
      <c r="AV7">
        <v>-189.66</v>
      </c>
      <c r="AW7">
        <v>-240.9</v>
      </c>
      <c r="AX7">
        <v>-265.7</v>
      </c>
      <c r="AY7">
        <v>-304</v>
      </c>
      <c r="AZ7">
        <v>-308.68</v>
      </c>
      <c r="BA7">
        <v>-331.1</v>
      </c>
      <c r="BB7">
        <v>-383.08</v>
      </c>
      <c r="BC7">
        <v>-441.44</v>
      </c>
      <c r="BD7">
        <v>-498.5</v>
      </c>
      <c r="BE7">
        <v>-573.70000000000005</v>
      </c>
      <c r="BF7">
        <v>-633.1</v>
      </c>
      <c r="BG7">
        <v>-787.5</v>
      </c>
      <c r="BH7">
        <v>-911.69</v>
      </c>
      <c r="BI7">
        <v>-1226.93</v>
      </c>
      <c r="BJ7">
        <v>-1567.92</v>
      </c>
      <c r="BK7">
        <v>-2050</v>
      </c>
      <c r="BL7">
        <v>-2323.14</v>
      </c>
      <c r="BM7">
        <v>-2825</v>
      </c>
      <c r="BN7">
        <v>-3162</v>
      </c>
      <c r="BO7">
        <v>-3432</v>
      </c>
    </row>
    <row r="8" spans="1:67" x14ac:dyDescent="0.25">
      <c r="B8" s="2">
        <v>43986</v>
      </c>
      <c r="C8">
        <v>4.3999999999999997E-2</v>
      </c>
      <c r="D8">
        <v>0.04</v>
      </c>
      <c r="E8">
        <v>5.5E-2</v>
      </c>
      <c r="F8">
        <v>3.6999999999999998E-2</v>
      </c>
      <c r="G8">
        <v>3.5000000000000003E-2</v>
      </c>
      <c r="H8">
        <v>3.2000000000000001E-2</v>
      </c>
      <c r="I8">
        <v>3.1E-2</v>
      </c>
      <c r="J8">
        <v>2.9000000000000001E-2</v>
      </c>
      <c r="K8">
        <v>4.2000000000000003E-2</v>
      </c>
      <c r="L8">
        <v>2.5000000000000001E-2</v>
      </c>
      <c r="M8">
        <v>0.03</v>
      </c>
      <c r="N8">
        <v>3.3000000000000002E-2</v>
      </c>
      <c r="O8">
        <v>3.0000000000000001E-3</v>
      </c>
      <c r="P8">
        <v>-1.6E-2</v>
      </c>
      <c r="Q8">
        <v>-3.5999999999999997E-2</v>
      </c>
      <c r="R8">
        <v>-0.04</v>
      </c>
      <c r="S8">
        <v>-6.6000000000000003E-2</v>
      </c>
      <c r="T8">
        <v>-8.1000000000000003E-2</v>
      </c>
      <c r="U8">
        <v>-8.6999999999999994E-2</v>
      </c>
      <c r="V8">
        <v>-0.111</v>
      </c>
      <c r="W8">
        <v>-4.8000000000000001E-2</v>
      </c>
      <c r="X8">
        <v>4.0000000000000001E-3</v>
      </c>
      <c r="Y8">
        <v>5.8999999999999997E-2</v>
      </c>
      <c r="Z8">
        <v>0.114</v>
      </c>
      <c r="AA8">
        <v>0.16800000000000001</v>
      </c>
      <c r="AB8">
        <v>0.221</v>
      </c>
      <c r="AC8">
        <v>0.27300000000000002</v>
      </c>
      <c r="AD8">
        <v>0.32400000000000001</v>
      </c>
      <c r="AE8">
        <v>0.36499999999999999</v>
      </c>
      <c r="AF8">
        <v>0.46</v>
      </c>
      <c r="AG8">
        <v>0.58299999999999996</v>
      </c>
      <c r="AH8">
        <v>0.49</v>
      </c>
      <c r="AI8">
        <v>0.52900000000000003</v>
      </c>
      <c r="AJ8">
        <v>9.1861999999999995</v>
      </c>
      <c r="AK8">
        <v>-1.64</v>
      </c>
      <c r="AL8">
        <v>-2.25</v>
      </c>
      <c r="AM8">
        <v>-1</v>
      </c>
      <c r="AN8">
        <v>-9.32</v>
      </c>
      <c r="AO8">
        <v>-12.04</v>
      </c>
      <c r="AP8">
        <v>-17.940000000000001</v>
      </c>
      <c r="AQ8">
        <v>-32.03</v>
      </c>
      <c r="AR8">
        <v>-71.83</v>
      </c>
      <c r="AS8">
        <v>-91.92</v>
      </c>
      <c r="AT8">
        <v>-124.39</v>
      </c>
      <c r="AU8">
        <v>-153.44999999999999</v>
      </c>
      <c r="AV8">
        <v>-171.43</v>
      </c>
      <c r="AW8">
        <v>-237.6</v>
      </c>
      <c r="AX8">
        <v>-263.75</v>
      </c>
      <c r="AY8">
        <v>-286.8</v>
      </c>
      <c r="AZ8">
        <v>-311.49</v>
      </c>
      <c r="BA8">
        <v>-333.66</v>
      </c>
      <c r="BB8">
        <v>-362.85</v>
      </c>
      <c r="BC8">
        <v>-439.1</v>
      </c>
      <c r="BD8">
        <v>-505.1</v>
      </c>
      <c r="BE8">
        <v>-576.5</v>
      </c>
      <c r="BF8">
        <v>-646.9</v>
      </c>
      <c r="BG8">
        <v>-788.1</v>
      </c>
      <c r="BH8">
        <v>-935.01</v>
      </c>
      <c r="BI8">
        <v>-1288.44</v>
      </c>
      <c r="BJ8">
        <v>-1689.34</v>
      </c>
      <c r="BK8">
        <v>-2234</v>
      </c>
      <c r="BL8">
        <v>-2607.0300000000002</v>
      </c>
      <c r="BM8">
        <v>-3155</v>
      </c>
      <c r="BN8">
        <v>-3512</v>
      </c>
      <c r="BO8">
        <v>-3857</v>
      </c>
    </row>
    <row r="9" spans="1:67" x14ac:dyDescent="0.25">
      <c r="B9" s="2">
        <v>43987</v>
      </c>
      <c r="C9">
        <v>4.1000000000000002E-2</v>
      </c>
      <c r="D9">
        <v>5.6000000000000001E-2</v>
      </c>
      <c r="E9">
        <v>4.5999999999999999E-2</v>
      </c>
      <c r="F9">
        <v>3.9E-2</v>
      </c>
      <c r="G9">
        <v>5.1999999999999998E-2</v>
      </c>
      <c r="H9">
        <v>3.5000000000000003E-2</v>
      </c>
      <c r="I9">
        <v>3.3000000000000002E-2</v>
      </c>
      <c r="J9">
        <v>4.5999999999999999E-2</v>
      </c>
      <c r="K9">
        <v>4.3999999999999997E-2</v>
      </c>
      <c r="L9">
        <v>4.1000000000000002E-2</v>
      </c>
      <c r="M9">
        <v>3.9E-2</v>
      </c>
      <c r="N9">
        <v>2.4E-2</v>
      </c>
      <c r="O9">
        <v>3.4000000000000002E-2</v>
      </c>
      <c r="P9">
        <v>-2.1000000000000001E-2</v>
      </c>
      <c r="Q9">
        <v>-2.1000000000000001E-2</v>
      </c>
      <c r="R9">
        <v>-4.1000000000000002E-2</v>
      </c>
      <c r="S9">
        <v>-6.2E-2</v>
      </c>
      <c r="T9">
        <v>-7.4999999999999997E-2</v>
      </c>
      <c r="U9">
        <v>-0.111</v>
      </c>
      <c r="V9">
        <v>-8.2000000000000003E-2</v>
      </c>
      <c r="W9">
        <v>-4.3999999999999997E-2</v>
      </c>
      <c r="X9">
        <v>8.9999999999999993E-3</v>
      </c>
      <c r="Y9">
        <v>6.6000000000000003E-2</v>
      </c>
      <c r="Z9">
        <v>0.12</v>
      </c>
      <c r="AA9">
        <v>0.17299999999999999</v>
      </c>
      <c r="AB9">
        <v>0.22700000000000001</v>
      </c>
      <c r="AC9">
        <v>0.28199999999999997</v>
      </c>
      <c r="AD9">
        <v>0.33300000000000002</v>
      </c>
      <c r="AE9">
        <v>0.38300000000000001</v>
      </c>
      <c r="AF9">
        <v>0.48</v>
      </c>
      <c r="AG9">
        <v>0.60299999999999998</v>
      </c>
      <c r="AH9">
        <v>0.54800000000000004</v>
      </c>
      <c r="AI9">
        <v>0.54700000000000004</v>
      </c>
      <c r="AJ9">
        <v>9.1672999999999991</v>
      </c>
      <c r="AK9">
        <v>-2.14</v>
      </c>
      <c r="AL9">
        <v>-1.1499999999999999</v>
      </c>
      <c r="AM9">
        <v>-1.1499999999999999</v>
      </c>
      <c r="AN9">
        <v>-7.79</v>
      </c>
      <c r="AO9">
        <v>-13.39</v>
      </c>
      <c r="AP9">
        <v>-16.57</v>
      </c>
      <c r="AQ9">
        <v>-34.22</v>
      </c>
      <c r="AR9">
        <v>-70.290000000000006</v>
      </c>
      <c r="AS9">
        <v>-100.94</v>
      </c>
      <c r="AT9">
        <v>-121.45</v>
      </c>
      <c r="AU9">
        <v>-150.69999999999999</v>
      </c>
      <c r="AV9">
        <v>-175.31</v>
      </c>
      <c r="AW9">
        <v>-237.55</v>
      </c>
      <c r="AX9">
        <v>-262.05</v>
      </c>
      <c r="AY9">
        <v>-305.02999999999997</v>
      </c>
      <c r="AZ9">
        <v>-315.94</v>
      </c>
      <c r="BA9">
        <v>-338.49</v>
      </c>
      <c r="BB9">
        <v>-364.85</v>
      </c>
      <c r="BC9">
        <v>-438.2</v>
      </c>
      <c r="BD9">
        <v>-525.1</v>
      </c>
      <c r="BE9">
        <v>-627.6</v>
      </c>
      <c r="BF9">
        <v>-719.4</v>
      </c>
      <c r="BG9">
        <v>-905.1</v>
      </c>
      <c r="BH9">
        <v>-1105.7</v>
      </c>
      <c r="BI9">
        <v>-1560.9</v>
      </c>
      <c r="BJ9">
        <v>-2118.9</v>
      </c>
      <c r="BK9">
        <v>-2616</v>
      </c>
      <c r="BL9">
        <v>-3164</v>
      </c>
      <c r="BM9">
        <v>-3657</v>
      </c>
      <c r="BN9">
        <v>-4129</v>
      </c>
      <c r="BO9">
        <v>-4524</v>
      </c>
    </row>
    <row r="10" spans="1:67" x14ac:dyDescent="0.25">
      <c r="B10" s="2">
        <v>43990</v>
      </c>
      <c r="C10">
        <v>6.2E-2</v>
      </c>
      <c r="D10">
        <v>5.3999999999999999E-2</v>
      </c>
      <c r="E10">
        <v>5.6000000000000001E-2</v>
      </c>
      <c r="F10">
        <v>4.8000000000000001E-2</v>
      </c>
      <c r="G10">
        <v>0.06</v>
      </c>
      <c r="H10">
        <v>5.6000000000000001E-2</v>
      </c>
      <c r="I10">
        <v>3.9E-2</v>
      </c>
      <c r="J10">
        <v>3.6999999999999998E-2</v>
      </c>
      <c r="K10">
        <v>4.8000000000000001E-2</v>
      </c>
      <c r="L10">
        <v>3.3000000000000002E-2</v>
      </c>
      <c r="M10">
        <v>4.4999999999999998E-2</v>
      </c>
      <c r="N10">
        <v>4.3999999999999997E-2</v>
      </c>
      <c r="O10">
        <v>4.2000000000000003E-2</v>
      </c>
      <c r="P10">
        <v>-1.7999999999999999E-2</v>
      </c>
      <c r="Q10">
        <v>-1.9E-2</v>
      </c>
      <c r="R10">
        <v>-2.9000000000000001E-2</v>
      </c>
      <c r="S10">
        <v>-7.0000000000000007E-2</v>
      </c>
      <c r="T10">
        <v>-7.9000000000000001E-2</v>
      </c>
      <c r="U10">
        <v>-0.1</v>
      </c>
      <c r="V10">
        <v>-0.113</v>
      </c>
      <c r="W10">
        <v>-4.3999999999999997E-2</v>
      </c>
      <c r="X10">
        <v>-1.4999999999999999E-2</v>
      </c>
      <c r="Y10">
        <v>4.4999999999999998E-2</v>
      </c>
      <c r="Z10">
        <v>0.13</v>
      </c>
      <c r="AA10">
        <v>0.189</v>
      </c>
      <c r="AB10">
        <v>0.20499999999999999</v>
      </c>
      <c r="AC10">
        <v>0.26</v>
      </c>
      <c r="AD10">
        <v>0.315</v>
      </c>
      <c r="AE10">
        <v>0.41</v>
      </c>
      <c r="AF10">
        <v>0.51</v>
      </c>
      <c r="AG10">
        <v>0.56000000000000005</v>
      </c>
      <c r="AH10">
        <v>0.54500000000000004</v>
      </c>
      <c r="AI10">
        <v>0.48</v>
      </c>
      <c r="AJ10">
        <v>9.2041000000000004</v>
      </c>
      <c r="AK10">
        <v>-1.67</v>
      </c>
      <c r="AL10">
        <v>-0.85</v>
      </c>
      <c r="AM10">
        <v>-0.9</v>
      </c>
      <c r="AN10">
        <v>-7.5</v>
      </c>
      <c r="AO10">
        <v>-12.11</v>
      </c>
      <c r="AP10">
        <v>-24.59</v>
      </c>
      <c r="AQ10">
        <v>-40.18</v>
      </c>
      <c r="AR10">
        <v>-73.64</v>
      </c>
      <c r="AS10">
        <v>-106.32</v>
      </c>
      <c r="AT10">
        <v>-130.55000000000001</v>
      </c>
      <c r="AU10">
        <v>-156.80000000000001</v>
      </c>
      <c r="AV10">
        <v>-196</v>
      </c>
      <c r="AW10">
        <v>-254.1</v>
      </c>
      <c r="AX10">
        <v>-282.64999999999998</v>
      </c>
      <c r="AY10">
        <v>-309.2</v>
      </c>
      <c r="AZ10">
        <v>-325.7</v>
      </c>
      <c r="BA10">
        <v>-356.8</v>
      </c>
      <c r="BB10">
        <v>-403.87</v>
      </c>
      <c r="BC10">
        <v>-474.5</v>
      </c>
      <c r="BD10">
        <v>-555.70000000000005</v>
      </c>
      <c r="BE10">
        <v>-649.1</v>
      </c>
      <c r="BF10">
        <v>-745.3</v>
      </c>
      <c r="BG10">
        <v>-893.5</v>
      </c>
      <c r="BH10">
        <v>-1054.0999999999999</v>
      </c>
      <c r="BI10">
        <v>-1444.27</v>
      </c>
      <c r="BJ10">
        <v>-1924.1</v>
      </c>
      <c r="BK10">
        <v>-2384</v>
      </c>
      <c r="BL10">
        <v>-2851</v>
      </c>
      <c r="BM10">
        <v>-3299</v>
      </c>
      <c r="BN10">
        <v>-3664</v>
      </c>
      <c r="BO10">
        <v>-3949</v>
      </c>
    </row>
    <row r="11" spans="1:67" x14ac:dyDescent="0.25">
      <c r="B11" s="2">
        <v>43991</v>
      </c>
      <c r="C11">
        <v>6.0999999999999999E-2</v>
      </c>
      <c r="D11">
        <v>5.8999999999999997E-2</v>
      </c>
      <c r="E11">
        <v>5.7000000000000002E-2</v>
      </c>
      <c r="F11">
        <v>4.9000000000000002E-2</v>
      </c>
      <c r="G11">
        <v>4.5999999999999999E-2</v>
      </c>
      <c r="H11">
        <v>4.2999999999999997E-2</v>
      </c>
      <c r="I11">
        <v>4.1000000000000002E-2</v>
      </c>
      <c r="J11">
        <v>5.1999999999999998E-2</v>
      </c>
      <c r="K11">
        <v>3.5999999999999997E-2</v>
      </c>
      <c r="L11">
        <v>4.8000000000000001E-2</v>
      </c>
      <c r="M11">
        <v>0.03</v>
      </c>
      <c r="N11">
        <v>4.2000000000000003E-2</v>
      </c>
      <c r="O11">
        <v>2.8000000000000001E-2</v>
      </c>
      <c r="P11">
        <v>-2.5000000000000001E-2</v>
      </c>
      <c r="Q11">
        <v>-3.6999999999999998E-2</v>
      </c>
      <c r="R11">
        <v>-2.9000000000000001E-2</v>
      </c>
      <c r="S11">
        <v>-6.4000000000000001E-2</v>
      </c>
      <c r="T11">
        <v>-0.09</v>
      </c>
      <c r="U11">
        <v>-0.1</v>
      </c>
      <c r="V11">
        <v>-0.121</v>
      </c>
      <c r="W11">
        <v>-8.5999999999999993E-2</v>
      </c>
      <c r="X11">
        <v>5.0000000000000001E-3</v>
      </c>
      <c r="Y11">
        <v>6.5000000000000002E-2</v>
      </c>
      <c r="Z11">
        <v>0.121</v>
      </c>
      <c r="AA11">
        <v>0.17699999999999999</v>
      </c>
      <c r="AB11">
        <v>0.23100000000000001</v>
      </c>
      <c r="AC11">
        <v>0.28499999999999998</v>
      </c>
      <c r="AD11">
        <v>0.33600000000000002</v>
      </c>
      <c r="AE11">
        <v>0.39500000000000002</v>
      </c>
      <c r="AF11">
        <v>0.49199999999999999</v>
      </c>
      <c r="AG11">
        <v>0.60099999999999998</v>
      </c>
      <c r="AH11">
        <v>0.56000000000000005</v>
      </c>
      <c r="AI11">
        <v>0.54900000000000004</v>
      </c>
      <c r="AJ11">
        <v>9.1715999999999998</v>
      </c>
      <c r="AK11">
        <v>-1.36</v>
      </c>
      <c r="AL11">
        <v>-0.95</v>
      </c>
      <c r="AM11">
        <v>-1.02</v>
      </c>
      <c r="AN11">
        <v>-9.02</v>
      </c>
      <c r="AO11">
        <v>-11.86</v>
      </c>
      <c r="AP11">
        <v>-25.02</v>
      </c>
      <c r="AQ11">
        <v>-42</v>
      </c>
      <c r="AR11">
        <v>-74</v>
      </c>
      <c r="AS11">
        <v>-107.83</v>
      </c>
      <c r="AT11">
        <v>-132.6</v>
      </c>
      <c r="AU11">
        <v>-163.80000000000001</v>
      </c>
      <c r="AV11">
        <v>-189.76</v>
      </c>
      <c r="AW11">
        <v>-251.6</v>
      </c>
      <c r="AX11">
        <v>-279.05</v>
      </c>
      <c r="AY11">
        <v>-303.3</v>
      </c>
      <c r="AZ11">
        <v>-357.47</v>
      </c>
      <c r="BA11">
        <v>-385.95</v>
      </c>
      <c r="BB11">
        <v>-384.05</v>
      </c>
      <c r="BC11">
        <v>-466.55</v>
      </c>
      <c r="BD11">
        <v>-535.65</v>
      </c>
      <c r="BE11">
        <v>-638.5</v>
      </c>
      <c r="BF11">
        <v>-716.9</v>
      </c>
      <c r="BG11">
        <v>-875.1</v>
      </c>
      <c r="BH11">
        <v>-1052.01</v>
      </c>
      <c r="BI11">
        <v>-1386.22</v>
      </c>
      <c r="BJ11">
        <v>-1987.3</v>
      </c>
      <c r="BK11">
        <v>-2412</v>
      </c>
      <c r="BL11">
        <v>-2831</v>
      </c>
      <c r="BM11">
        <v>-3246</v>
      </c>
      <c r="BN11">
        <v>-3600</v>
      </c>
      <c r="BO11">
        <v>-3875</v>
      </c>
    </row>
    <row r="12" spans="1:67" x14ac:dyDescent="0.25">
      <c r="B12" s="2">
        <v>43992</v>
      </c>
      <c r="C12">
        <v>7.1000000000000008E-2</v>
      </c>
      <c r="D12">
        <v>5.3000000000000005E-2</v>
      </c>
      <c r="E12">
        <v>5.1000000000000004E-2</v>
      </c>
      <c r="F12">
        <v>6.0999999999999999E-2</v>
      </c>
      <c r="G12">
        <v>5.7000000000000002E-2</v>
      </c>
      <c r="H12">
        <v>3.9E-2</v>
      </c>
      <c r="I12">
        <v>0.05</v>
      </c>
      <c r="J12">
        <v>4.7E-2</v>
      </c>
      <c r="K12">
        <v>0.03</v>
      </c>
      <c r="L12">
        <v>2.7E-2</v>
      </c>
      <c r="M12">
        <v>3.6999999999999998E-2</v>
      </c>
      <c r="N12">
        <v>3.4000000000000002E-2</v>
      </c>
      <c r="O12">
        <v>1.8000000000000002E-2</v>
      </c>
      <c r="P12">
        <v>-1.9E-2</v>
      </c>
      <c r="Q12">
        <v>-2.4E-2</v>
      </c>
      <c r="R12">
        <v>-2.6000000000000002E-2</v>
      </c>
      <c r="S12">
        <v>-4.8000000000000001E-2</v>
      </c>
      <c r="T12">
        <v>-6.8000000000000005E-2</v>
      </c>
      <c r="U12">
        <v>-7.9000000000000001E-2</v>
      </c>
      <c r="V12">
        <v>-0.113</v>
      </c>
      <c r="W12">
        <v>-7.1000000000000008E-2</v>
      </c>
      <c r="X12">
        <v>2.6000000000000002E-2</v>
      </c>
      <c r="Y12">
        <v>4.4999999999999998E-2</v>
      </c>
      <c r="Z12">
        <v>0.1</v>
      </c>
      <c r="AA12">
        <v>0.15500000000000003</v>
      </c>
      <c r="AB12">
        <v>0.21500000000000002</v>
      </c>
      <c r="AC12">
        <v>0.27</v>
      </c>
      <c r="AD12">
        <v>0.32500000000000001</v>
      </c>
      <c r="AE12">
        <v>0.41500000000000004</v>
      </c>
      <c r="AF12">
        <v>0.51500000000000001</v>
      </c>
      <c r="AG12">
        <v>0.56500000000000006</v>
      </c>
      <c r="AH12">
        <v>0.54500000000000004</v>
      </c>
      <c r="AI12">
        <v>0.48000000000000004</v>
      </c>
      <c r="AJ12">
        <v>9.2348999999999997</v>
      </c>
      <c r="AK12">
        <v>-1.7</v>
      </c>
      <c r="AL12">
        <v>-0.91</v>
      </c>
      <c r="AM12">
        <v>-2.2799999999999998</v>
      </c>
      <c r="AN12">
        <v>-11.33</v>
      </c>
      <c r="AO12">
        <v>-11.95</v>
      </c>
      <c r="AP12">
        <v>-25.68</v>
      </c>
      <c r="AQ12">
        <v>-41.54</v>
      </c>
      <c r="AR12">
        <v>-74.59</v>
      </c>
      <c r="AS12">
        <v>-100.9</v>
      </c>
      <c r="AT12">
        <v>-130.94999999999999</v>
      </c>
      <c r="AU12">
        <v>-157.85</v>
      </c>
      <c r="AV12">
        <v>-184.35</v>
      </c>
      <c r="AW12">
        <v>-253.7</v>
      </c>
      <c r="AX12">
        <v>-283.3</v>
      </c>
      <c r="AY12">
        <v>-318.29000000000002</v>
      </c>
      <c r="AZ12">
        <v>-329.84</v>
      </c>
      <c r="BA12">
        <v>-356.17</v>
      </c>
      <c r="BB12">
        <v>-372.55</v>
      </c>
      <c r="BC12">
        <v>-440.9</v>
      </c>
      <c r="BD12">
        <v>-527.1</v>
      </c>
      <c r="BE12">
        <v>-602.1</v>
      </c>
      <c r="BF12">
        <v>-674.3</v>
      </c>
      <c r="BG12">
        <v>-811</v>
      </c>
      <c r="BH12">
        <v>-929.6</v>
      </c>
      <c r="BI12">
        <v>-1210</v>
      </c>
      <c r="BJ12">
        <v>-1540.75</v>
      </c>
      <c r="BK12">
        <v>-1876</v>
      </c>
      <c r="BL12">
        <v>-2251</v>
      </c>
      <c r="BM12">
        <v>-2599</v>
      </c>
      <c r="BN12">
        <v>-2884</v>
      </c>
      <c r="BO12">
        <v>-3073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O12"/>
  <sheetViews>
    <sheetView workbookViewId="0">
      <selection activeCell="A11" sqref="A11"/>
    </sheetView>
  </sheetViews>
  <sheetFormatPr defaultRowHeight="15" x14ac:dyDescent="0.25"/>
  <cols>
    <col min="2" max="2" width="10.85546875" bestFit="1" customWidth="1"/>
  </cols>
  <sheetData>
    <row r="1" spans="1:67" x14ac:dyDescent="0.25">
      <c r="A1">
        <v>10</v>
      </c>
      <c r="B1">
        <v>65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B2" t="s">
        <v>684</v>
      </c>
      <c r="C2" t="s">
        <v>686</v>
      </c>
      <c r="D2" t="s">
        <v>686</v>
      </c>
      <c r="E2" t="s">
        <v>686</v>
      </c>
      <c r="F2" t="s">
        <v>686</v>
      </c>
      <c r="G2" t="s">
        <v>686</v>
      </c>
      <c r="H2" t="s">
        <v>686</v>
      </c>
      <c r="I2" t="s">
        <v>686</v>
      </c>
      <c r="J2" t="s">
        <v>686</v>
      </c>
      <c r="K2" t="s">
        <v>686</v>
      </c>
      <c r="L2" t="s">
        <v>686</v>
      </c>
      <c r="M2" t="s">
        <v>686</v>
      </c>
      <c r="N2" t="s">
        <v>686</v>
      </c>
      <c r="O2" t="s">
        <v>686</v>
      </c>
      <c r="P2" t="s">
        <v>686</v>
      </c>
      <c r="Q2" t="s">
        <v>686</v>
      </c>
      <c r="R2" t="s">
        <v>686</v>
      </c>
      <c r="S2" t="s">
        <v>686</v>
      </c>
      <c r="T2" t="s">
        <v>686</v>
      </c>
      <c r="U2" t="s">
        <v>686</v>
      </c>
      <c r="V2" t="s">
        <v>686</v>
      </c>
      <c r="W2" t="s">
        <v>686</v>
      </c>
      <c r="X2" t="s">
        <v>686</v>
      </c>
      <c r="Y2" t="s">
        <v>686</v>
      </c>
      <c r="Z2" t="s">
        <v>686</v>
      </c>
      <c r="AA2" t="s">
        <v>686</v>
      </c>
      <c r="AB2" t="s">
        <v>686</v>
      </c>
      <c r="AC2" t="s">
        <v>686</v>
      </c>
      <c r="AD2" t="s">
        <v>686</v>
      </c>
      <c r="AE2" t="s">
        <v>686</v>
      </c>
      <c r="AF2" t="s">
        <v>686</v>
      </c>
      <c r="AG2" t="s">
        <v>686</v>
      </c>
      <c r="AH2" t="s">
        <v>686</v>
      </c>
      <c r="AI2" t="s">
        <v>686</v>
      </c>
      <c r="AJ2" t="s">
        <v>686</v>
      </c>
      <c r="AK2" t="s">
        <v>686</v>
      </c>
      <c r="AL2" t="s">
        <v>686</v>
      </c>
      <c r="AM2" t="s">
        <v>686</v>
      </c>
      <c r="AN2" t="s">
        <v>686</v>
      </c>
      <c r="AO2" t="s">
        <v>686</v>
      </c>
      <c r="AP2" t="s">
        <v>686</v>
      </c>
      <c r="AQ2" t="s">
        <v>686</v>
      </c>
      <c r="AR2" t="s">
        <v>686</v>
      </c>
      <c r="AS2" t="s">
        <v>686</v>
      </c>
      <c r="AT2" t="s">
        <v>686</v>
      </c>
      <c r="AU2" t="s">
        <v>686</v>
      </c>
      <c r="AV2" t="s">
        <v>686</v>
      </c>
      <c r="AW2" t="s">
        <v>686</v>
      </c>
      <c r="AX2" t="s">
        <v>686</v>
      </c>
      <c r="AY2" t="s">
        <v>686</v>
      </c>
      <c r="AZ2" t="s">
        <v>686</v>
      </c>
      <c r="BA2" t="s">
        <v>686</v>
      </c>
      <c r="BB2" t="s">
        <v>686</v>
      </c>
      <c r="BC2" t="s">
        <v>686</v>
      </c>
      <c r="BD2" t="s">
        <v>686</v>
      </c>
      <c r="BE2" t="s">
        <v>686</v>
      </c>
      <c r="BF2" t="s">
        <v>686</v>
      </c>
      <c r="BG2" t="s">
        <v>686</v>
      </c>
      <c r="BH2" t="s">
        <v>686</v>
      </c>
      <c r="BI2" t="s">
        <v>686</v>
      </c>
      <c r="BJ2" t="s">
        <v>686</v>
      </c>
      <c r="BK2" t="s">
        <v>686</v>
      </c>
      <c r="BL2" t="s">
        <v>686</v>
      </c>
      <c r="BM2" t="s">
        <v>686</v>
      </c>
      <c r="BN2" t="s">
        <v>686</v>
      </c>
      <c r="BO2" t="s">
        <v>686</v>
      </c>
    </row>
    <row r="3" spans="1:67" x14ac:dyDescent="0.25">
      <c r="A3" t="str">
        <f>_xll.RHistory($C$1:$BO$1,"ASK.TIMESTAMP;ASK.CLOSE","NBROWS:10 INTERVAL:1D",,"CH:Fd TSREPEAT:NO SORT:ASC",$B$2)</f>
        <v>Updated at 16:06:56</v>
      </c>
      <c r="B3" s="2">
        <v>43979</v>
      </c>
      <c r="C3">
        <v>7.3999999999999996E-2</v>
      </c>
      <c r="D3">
        <v>6.4000000000000001E-2</v>
      </c>
      <c r="E3">
        <v>7.4999999999999997E-2</v>
      </c>
      <c r="F3">
        <v>6.4000000000000001E-2</v>
      </c>
      <c r="G3">
        <v>7.4999999999999997E-2</v>
      </c>
      <c r="H3">
        <v>5.8000000000000003E-2</v>
      </c>
      <c r="I3">
        <v>7.0999999999999994E-2</v>
      </c>
      <c r="J3">
        <v>6.9000000000000006E-2</v>
      </c>
      <c r="K3">
        <v>5.5E-2</v>
      </c>
      <c r="L3">
        <v>6.4000000000000001E-2</v>
      </c>
      <c r="M3">
        <v>4.5999999999999999E-2</v>
      </c>
      <c r="N3">
        <v>0.06</v>
      </c>
      <c r="O3">
        <v>4.3999999999999997E-2</v>
      </c>
      <c r="P3">
        <v>5.0000000000000001E-3</v>
      </c>
      <c r="Q3">
        <v>8.0000000000000002E-3</v>
      </c>
      <c r="R3">
        <v>2E-3</v>
      </c>
      <c r="S3">
        <v>-1.9E-2</v>
      </c>
      <c r="T3">
        <v>-6.7000000000000004E-2</v>
      </c>
      <c r="U3">
        <v>-7.8E-2</v>
      </c>
      <c r="V3">
        <v>-6.4000000000000001E-2</v>
      </c>
      <c r="W3">
        <v>-5.7000000000000002E-2</v>
      </c>
      <c r="X3">
        <v>-1.4999999999999999E-2</v>
      </c>
      <c r="Y3">
        <v>0.04</v>
      </c>
      <c r="Z3">
        <v>0.08</v>
      </c>
      <c r="AA3">
        <v>0.112</v>
      </c>
      <c r="AB3">
        <v>0.16</v>
      </c>
      <c r="AC3">
        <v>0.20699999999999999</v>
      </c>
      <c r="AD3">
        <v>0.254</v>
      </c>
      <c r="AE3">
        <v>0.35</v>
      </c>
      <c r="AF3">
        <v>0.44</v>
      </c>
      <c r="AG3">
        <v>0.496</v>
      </c>
      <c r="AH3">
        <v>0.46500000000000002</v>
      </c>
      <c r="AI3">
        <v>0.41399999999999998</v>
      </c>
      <c r="AJ3">
        <v>9.5158000000000005</v>
      </c>
      <c r="AK3">
        <v>-0.04</v>
      </c>
      <c r="AL3">
        <v>-1.47</v>
      </c>
      <c r="AM3">
        <v>1.22</v>
      </c>
      <c r="AN3">
        <v>-4.25</v>
      </c>
      <c r="AO3">
        <v>-8.74</v>
      </c>
      <c r="AP3">
        <v>-13.59</v>
      </c>
      <c r="AQ3">
        <v>-24.85</v>
      </c>
      <c r="AR3">
        <v>-50.85</v>
      </c>
      <c r="AS3">
        <v>-74.3</v>
      </c>
      <c r="AT3">
        <v>-98.05</v>
      </c>
      <c r="AU3">
        <v>-116.55</v>
      </c>
      <c r="AV3">
        <v>-131.32</v>
      </c>
      <c r="AW3">
        <v>-201.65</v>
      </c>
      <c r="AX3">
        <v>-222.95</v>
      </c>
      <c r="AY3">
        <v>-244.45</v>
      </c>
      <c r="AZ3">
        <v>-268.76</v>
      </c>
      <c r="BA3">
        <v>-290.32</v>
      </c>
      <c r="BB3">
        <v>-311.14999999999998</v>
      </c>
      <c r="BC3">
        <v>-362.9</v>
      </c>
      <c r="BD3">
        <v>-422.2</v>
      </c>
      <c r="BE3">
        <v>-495.3</v>
      </c>
      <c r="BF3">
        <v>-563.79999999999995</v>
      </c>
      <c r="BG3">
        <v>-680.4</v>
      </c>
      <c r="BH3">
        <v>-765.9</v>
      </c>
      <c r="BI3">
        <v>-1080.1500000000001</v>
      </c>
      <c r="BJ3">
        <v>-1328.9</v>
      </c>
      <c r="BK3">
        <v>-1712</v>
      </c>
      <c r="BL3">
        <v>-2091</v>
      </c>
      <c r="BM3">
        <v>-2456</v>
      </c>
      <c r="BN3">
        <v>-2749</v>
      </c>
      <c r="BO3">
        <v>-3006</v>
      </c>
    </row>
    <row r="4" spans="1:67" x14ac:dyDescent="0.25">
      <c r="B4" s="2">
        <v>43980</v>
      </c>
      <c r="C4">
        <v>6.0999999999999999E-2</v>
      </c>
      <c r="D4">
        <v>6.0999999999999999E-2</v>
      </c>
      <c r="E4">
        <v>7.5999999999999998E-2</v>
      </c>
      <c r="F4">
        <v>5.8999999999999997E-2</v>
      </c>
      <c r="G4">
        <v>5.5E-2</v>
      </c>
      <c r="H4">
        <v>6.7000000000000004E-2</v>
      </c>
      <c r="I4">
        <v>6.5000000000000002E-2</v>
      </c>
      <c r="J4">
        <v>4.8000000000000001E-2</v>
      </c>
      <c r="K4">
        <v>5.0999999999999997E-2</v>
      </c>
      <c r="L4">
        <v>0.04</v>
      </c>
      <c r="M4">
        <v>4.4999999999999998E-2</v>
      </c>
      <c r="N4">
        <v>3.5000000000000003E-2</v>
      </c>
      <c r="O4">
        <v>1.4E-2</v>
      </c>
      <c r="P4">
        <v>4.0000000000000001E-3</v>
      </c>
      <c r="Q4">
        <v>7.0000000000000001E-3</v>
      </c>
      <c r="R4">
        <v>2E-3</v>
      </c>
      <c r="S4">
        <v>-2.5000000000000001E-2</v>
      </c>
      <c r="T4">
        <v>-6.5000000000000002E-2</v>
      </c>
      <c r="U4">
        <v>-7.4999999999999997E-2</v>
      </c>
      <c r="V4">
        <v>-7.0000000000000007E-2</v>
      </c>
      <c r="W4">
        <v>-4.2999999999999997E-2</v>
      </c>
      <c r="X4">
        <v>-1.4E-2</v>
      </c>
      <c r="Y4">
        <v>0.04</v>
      </c>
      <c r="Z4">
        <v>0.08</v>
      </c>
      <c r="AA4">
        <v>0.12</v>
      </c>
      <c r="AB4">
        <v>0.16500000000000001</v>
      </c>
      <c r="AC4">
        <v>0.21</v>
      </c>
      <c r="AD4">
        <v>0.255</v>
      </c>
      <c r="AE4">
        <v>0.34499999999999997</v>
      </c>
      <c r="AF4">
        <v>0.435</v>
      </c>
      <c r="AG4">
        <v>0.49</v>
      </c>
      <c r="AH4">
        <v>0.46</v>
      </c>
      <c r="AI4">
        <v>0.40500000000000003</v>
      </c>
      <c r="AJ4">
        <v>9.4390000000000001</v>
      </c>
      <c r="AK4">
        <v>-0.16</v>
      </c>
      <c r="AL4">
        <v>-0.26</v>
      </c>
      <c r="AM4">
        <v>-0.4</v>
      </c>
      <c r="AN4">
        <v>-1.5</v>
      </c>
      <c r="AO4">
        <v>-9.61</v>
      </c>
      <c r="AP4">
        <v>-14.82</v>
      </c>
      <c r="AQ4">
        <v>-18.57</v>
      </c>
      <c r="AR4">
        <v>-43.64</v>
      </c>
      <c r="AS4">
        <v>-65.81</v>
      </c>
      <c r="AT4">
        <v>-91.9</v>
      </c>
      <c r="AU4">
        <v>-118.07</v>
      </c>
      <c r="AV4">
        <v>-130.56</v>
      </c>
      <c r="AW4">
        <v>-200.4</v>
      </c>
      <c r="AX4">
        <v>-221.25</v>
      </c>
      <c r="AY4">
        <v>-224.61</v>
      </c>
      <c r="AZ4">
        <v>-261.7</v>
      </c>
      <c r="BA4">
        <v>-280.49</v>
      </c>
      <c r="BB4">
        <v>-276.33999999999997</v>
      </c>
      <c r="BC4">
        <v>-355.7</v>
      </c>
      <c r="BD4">
        <v>-405.76</v>
      </c>
      <c r="BE4">
        <v>-478.1</v>
      </c>
      <c r="BF4">
        <v>-518.85</v>
      </c>
      <c r="BG4">
        <v>-640.9</v>
      </c>
      <c r="BH4">
        <v>-672.49</v>
      </c>
      <c r="BI4">
        <v>-942.46</v>
      </c>
      <c r="BJ4">
        <v>-1265.55</v>
      </c>
      <c r="BK4">
        <v>-1343</v>
      </c>
      <c r="BL4">
        <v>-1722</v>
      </c>
      <c r="BM4">
        <v>-2061</v>
      </c>
      <c r="BN4">
        <v>-2331</v>
      </c>
      <c r="BO4">
        <v>-2527</v>
      </c>
    </row>
    <row r="5" spans="1:67" x14ac:dyDescent="0.25">
      <c r="B5" s="2">
        <v>43983</v>
      </c>
      <c r="C5">
        <v>7.1999999999999995E-2</v>
      </c>
      <c r="D5">
        <v>7.2999999999999995E-2</v>
      </c>
      <c r="E5">
        <v>7.6999999999999999E-2</v>
      </c>
      <c r="F5">
        <v>0.06</v>
      </c>
      <c r="G5">
        <v>5.7000000000000002E-2</v>
      </c>
      <c r="H5">
        <v>6.9000000000000006E-2</v>
      </c>
      <c r="I5">
        <v>6.6000000000000003E-2</v>
      </c>
      <c r="J5">
        <v>6.3E-2</v>
      </c>
      <c r="K5">
        <v>4.4999999999999998E-2</v>
      </c>
      <c r="L5">
        <v>3.9E-2</v>
      </c>
      <c r="M5">
        <v>3.5999999999999997E-2</v>
      </c>
      <c r="N5">
        <v>3.3000000000000002E-2</v>
      </c>
      <c r="O5">
        <v>7.0000000000000001E-3</v>
      </c>
      <c r="P5">
        <v>0.03</v>
      </c>
      <c r="Q5">
        <v>0.01</v>
      </c>
      <c r="R5">
        <v>1E-3</v>
      </c>
      <c r="S5">
        <v>-0.02</v>
      </c>
      <c r="T5">
        <v>-6.8000000000000005E-2</v>
      </c>
      <c r="U5">
        <v>-6.5000000000000002E-2</v>
      </c>
      <c r="V5">
        <v>-8.5000000000000006E-2</v>
      </c>
      <c r="W5">
        <v>-4.9000000000000002E-2</v>
      </c>
      <c r="X5">
        <v>-7.0000000000000001E-3</v>
      </c>
      <c r="Y5">
        <v>0.04</v>
      </c>
      <c r="Z5">
        <v>8.7999999999999995E-2</v>
      </c>
      <c r="AA5">
        <v>0.13800000000000001</v>
      </c>
      <c r="AB5">
        <v>0.187</v>
      </c>
      <c r="AC5">
        <v>0.23699999999999999</v>
      </c>
      <c r="AD5">
        <v>0.28599999999999998</v>
      </c>
      <c r="AE5">
        <v>0.37</v>
      </c>
      <c r="AF5">
        <v>0.46</v>
      </c>
      <c r="AG5">
        <v>0.54700000000000004</v>
      </c>
      <c r="AH5">
        <v>0.5</v>
      </c>
      <c r="AI5">
        <v>0.47299999999999998</v>
      </c>
      <c r="AJ5">
        <v>9.3808000000000007</v>
      </c>
      <c r="AK5">
        <v>-0.05</v>
      </c>
      <c r="AL5">
        <v>-0.28000000000000003</v>
      </c>
      <c r="AM5">
        <v>-0.39</v>
      </c>
      <c r="AN5">
        <v>-2.17</v>
      </c>
      <c r="AO5">
        <v>-9.39</v>
      </c>
      <c r="AP5">
        <v>-14.58</v>
      </c>
      <c r="AQ5">
        <v>-23.33</v>
      </c>
      <c r="AR5">
        <v>-43.59</v>
      </c>
      <c r="AS5">
        <v>-75.5</v>
      </c>
      <c r="AT5">
        <v>-101</v>
      </c>
      <c r="AU5">
        <v>-115.3</v>
      </c>
      <c r="AV5">
        <v>-136.79</v>
      </c>
      <c r="AW5">
        <v>-197.7</v>
      </c>
      <c r="AX5">
        <v>-218.35</v>
      </c>
      <c r="AY5">
        <v>-237.15</v>
      </c>
      <c r="AZ5">
        <v>-266.7</v>
      </c>
      <c r="BA5">
        <v>-289.52</v>
      </c>
      <c r="BB5">
        <v>-302</v>
      </c>
      <c r="BC5">
        <v>-349.6</v>
      </c>
      <c r="BD5">
        <v>-402.2</v>
      </c>
      <c r="BE5">
        <v>-469.1</v>
      </c>
      <c r="BF5">
        <v>-523.1</v>
      </c>
      <c r="BG5">
        <v>-630.79999999999995</v>
      </c>
      <c r="BH5">
        <v>-692.2</v>
      </c>
      <c r="BI5">
        <v>-897.9</v>
      </c>
      <c r="BJ5">
        <v>-1151</v>
      </c>
      <c r="BK5">
        <v>-1474</v>
      </c>
      <c r="BL5">
        <v>-1868.55</v>
      </c>
      <c r="BM5">
        <v>-2113</v>
      </c>
      <c r="BN5">
        <v>-2370</v>
      </c>
      <c r="BO5">
        <v>-2527</v>
      </c>
    </row>
    <row r="6" spans="1:67" x14ac:dyDescent="0.25">
      <c r="B6" s="2">
        <v>43984</v>
      </c>
      <c r="C6">
        <v>7.4999999999999997E-2</v>
      </c>
      <c r="D6">
        <v>7.9000000000000001E-2</v>
      </c>
      <c r="E6">
        <v>7.9000000000000001E-2</v>
      </c>
      <c r="F6">
        <v>7.6999999999999999E-2</v>
      </c>
      <c r="G6">
        <v>7.3999999999999996E-2</v>
      </c>
      <c r="H6">
        <v>7.0999999999999994E-2</v>
      </c>
      <c r="I6">
        <v>6.9000000000000006E-2</v>
      </c>
      <c r="J6">
        <v>6.6000000000000003E-2</v>
      </c>
      <c r="K6">
        <v>6.4000000000000001E-2</v>
      </c>
      <c r="L6">
        <v>4.3999999999999997E-2</v>
      </c>
      <c r="M6">
        <v>4.1000000000000002E-2</v>
      </c>
      <c r="N6">
        <v>3.7999999999999999E-2</v>
      </c>
      <c r="O6">
        <v>1.2E-2</v>
      </c>
      <c r="P6">
        <v>5.0000000000000001E-3</v>
      </c>
      <c r="Q6">
        <v>-0.01</v>
      </c>
      <c r="R6">
        <v>-5.0000000000000001E-3</v>
      </c>
      <c r="S6">
        <v>-0.04</v>
      </c>
      <c r="T6">
        <v>-5.8999999999999997E-2</v>
      </c>
      <c r="U6">
        <v>-7.0000000000000007E-2</v>
      </c>
      <c r="V6">
        <v>-7.1999999999999995E-2</v>
      </c>
      <c r="W6">
        <v>-3.6999999999999998E-2</v>
      </c>
      <c r="X6">
        <v>-1E-3</v>
      </c>
      <c r="Y6">
        <v>4.2999999999999997E-2</v>
      </c>
      <c r="Z6">
        <v>8.6999999999999994E-2</v>
      </c>
      <c r="AA6">
        <v>0.13200000000000001</v>
      </c>
      <c r="AB6">
        <v>0.17899999999999999</v>
      </c>
      <c r="AC6">
        <v>0.22600000000000001</v>
      </c>
      <c r="AD6">
        <v>0.27200000000000002</v>
      </c>
      <c r="AE6">
        <v>0.36</v>
      </c>
      <c r="AF6">
        <v>0.45</v>
      </c>
      <c r="AG6">
        <v>0.51600000000000001</v>
      </c>
      <c r="AH6">
        <v>0.49</v>
      </c>
      <c r="AI6">
        <v>0.45200000000000001</v>
      </c>
      <c r="AJ6">
        <v>9.3361000000000001</v>
      </c>
      <c r="AK6">
        <v>0.15</v>
      </c>
      <c r="AL6">
        <v>0.68</v>
      </c>
      <c r="AM6">
        <v>0.37</v>
      </c>
      <c r="AN6">
        <v>-1.54</v>
      </c>
      <c r="AO6">
        <v>-9.73</v>
      </c>
      <c r="AP6">
        <v>-15.65</v>
      </c>
      <c r="AQ6">
        <v>-27.28</v>
      </c>
      <c r="AR6">
        <v>-46.2</v>
      </c>
      <c r="AS6">
        <v>-81.25</v>
      </c>
      <c r="AT6">
        <v>-103.1</v>
      </c>
      <c r="AU6">
        <v>-123.15</v>
      </c>
      <c r="AV6">
        <v>-145.72999999999999</v>
      </c>
      <c r="AW6">
        <v>-204.45</v>
      </c>
      <c r="AX6">
        <v>-225.4</v>
      </c>
      <c r="AY6">
        <v>-230.63</v>
      </c>
      <c r="AZ6">
        <v>-268.18</v>
      </c>
      <c r="BA6">
        <v>-287.64</v>
      </c>
      <c r="BB6">
        <v>-286.14999999999998</v>
      </c>
      <c r="BC6">
        <v>-352.9</v>
      </c>
      <c r="BD6">
        <v>-408</v>
      </c>
      <c r="BE6">
        <v>-461.7</v>
      </c>
      <c r="BF6">
        <v>-514.5</v>
      </c>
      <c r="BG6">
        <v>-590.6</v>
      </c>
      <c r="BH6">
        <v>-684.3</v>
      </c>
      <c r="BI6">
        <v>-924.1</v>
      </c>
      <c r="BJ6">
        <v>-1304.1600000000001</v>
      </c>
      <c r="BK6">
        <v>-1560</v>
      </c>
      <c r="BL6">
        <v>-2016.66</v>
      </c>
      <c r="BM6">
        <v>-2317</v>
      </c>
      <c r="BN6">
        <v>-2603</v>
      </c>
      <c r="BO6">
        <v>-2810</v>
      </c>
    </row>
    <row r="7" spans="1:67" x14ac:dyDescent="0.25">
      <c r="B7" s="2">
        <v>43985</v>
      </c>
      <c r="C7">
        <v>7.6999999999999999E-2</v>
      </c>
      <c r="D7">
        <v>8.2000000000000003E-2</v>
      </c>
      <c r="E7">
        <v>8.3000000000000004E-2</v>
      </c>
      <c r="F7">
        <v>6.6000000000000003E-2</v>
      </c>
      <c r="G7">
        <v>6.3E-2</v>
      </c>
      <c r="H7">
        <v>7.4999999999999997E-2</v>
      </c>
      <c r="I7">
        <v>5.8999999999999997E-2</v>
      </c>
      <c r="J7">
        <v>7.1999999999999995E-2</v>
      </c>
      <c r="K7">
        <v>7.0000000000000007E-2</v>
      </c>
      <c r="L7">
        <v>5.1999999999999998E-2</v>
      </c>
      <c r="M7">
        <v>4.9000000000000002E-2</v>
      </c>
      <c r="N7">
        <v>4.7E-2</v>
      </c>
      <c r="O7">
        <v>4.2000000000000003E-2</v>
      </c>
      <c r="P7">
        <v>2.5000000000000001E-2</v>
      </c>
      <c r="Q7">
        <v>-1.0999999999999999E-2</v>
      </c>
      <c r="R7">
        <v>-5.0000000000000001E-3</v>
      </c>
      <c r="S7">
        <v>-2.5000000000000001E-2</v>
      </c>
      <c r="T7">
        <v>-4.4999999999999998E-2</v>
      </c>
      <c r="U7">
        <v>-5.5E-2</v>
      </c>
      <c r="V7">
        <v>-6.0999999999999999E-2</v>
      </c>
      <c r="W7">
        <v>-3.3000000000000002E-2</v>
      </c>
      <c r="X7">
        <v>1.2999999999999999E-2</v>
      </c>
      <c r="Y7">
        <v>6.4000000000000001E-2</v>
      </c>
      <c r="Z7">
        <v>0.11600000000000001</v>
      </c>
      <c r="AA7">
        <v>0.16700000000000001</v>
      </c>
      <c r="AB7">
        <v>0.217</v>
      </c>
      <c r="AC7">
        <v>0.26700000000000002</v>
      </c>
      <c r="AD7">
        <v>0.316</v>
      </c>
      <c r="AE7">
        <v>0.39500000000000002</v>
      </c>
      <c r="AF7">
        <v>0.49</v>
      </c>
      <c r="AG7">
        <v>0.56599999999999995</v>
      </c>
      <c r="AH7">
        <v>0.52500000000000002</v>
      </c>
      <c r="AI7">
        <v>0.503</v>
      </c>
      <c r="AJ7">
        <v>9.2864000000000004</v>
      </c>
      <c r="AK7">
        <v>0.35</v>
      </c>
      <c r="AL7">
        <v>0.32</v>
      </c>
      <c r="AM7">
        <v>-1.9</v>
      </c>
      <c r="AN7">
        <v>-1.8</v>
      </c>
      <c r="AO7">
        <v>-11.61</v>
      </c>
      <c r="AP7">
        <v>-15.65</v>
      </c>
      <c r="AQ7">
        <v>-23.78</v>
      </c>
      <c r="AR7">
        <v>-57.5</v>
      </c>
      <c r="AS7">
        <v>-90.1</v>
      </c>
      <c r="AT7">
        <v>-113.63</v>
      </c>
      <c r="AU7">
        <v>-137.44999999999999</v>
      </c>
      <c r="AV7">
        <v>-153.66</v>
      </c>
      <c r="AW7">
        <v>-218.65</v>
      </c>
      <c r="AX7">
        <v>-240.2</v>
      </c>
      <c r="AY7">
        <v>-249</v>
      </c>
      <c r="AZ7">
        <v>-291.68</v>
      </c>
      <c r="BA7">
        <v>-311.10000000000002</v>
      </c>
      <c r="BB7">
        <v>-305.77999999999997</v>
      </c>
      <c r="BC7">
        <v>-361.44</v>
      </c>
      <c r="BD7">
        <v>-426.8</v>
      </c>
      <c r="BE7">
        <v>-490</v>
      </c>
      <c r="BF7">
        <v>-537.29999999999995</v>
      </c>
      <c r="BG7">
        <v>-667.6</v>
      </c>
      <c r="BH7">
        <v>-736.69</v>
      </c>
      <c r="BI7">
        <v>-1026.93</v>
      </c>
      <c r="BJ7">
        <v>-1367.92</v>
      </c>
      <c r="BK7">
        <v>-1650</v>
      </c>
      <c r="BL7">
        <v>-2123.14</v>
      </c>
      <c r="BM7">
        <v>-2425</v>
      </c>
      <c r="BN7">
        <v>-2762</v>
      </c>
      <c r="BO7">
        <v>-3032</v>
      </c>
    </row>
    <row r="8" spans="1:67" x14ac:dyDescent="0.25">
      <c r="B8" s="2">
        <v>43986</v>
      </c>
      <c r="C8">
        <v>8.4000000000000005E-2</v>
      </c>
      <c r="D8">
        <v>0.09</v>
      </c>
      <c r="E8">
        <v>7.4999999999999997E-2</v>
      </c>
      <c r="F8">
        <v>8.6999999999999994E-2</v>
      </c>
      <c r="G8">
        <v>8.5000000000000006E-2</v>
      </c>
      <c r="H8">
        <v>8.2000000000000003E-2</v>
      </c>
      <c r="I8">
        <v>8.1000000000000003E-2</v>
      </c>
      <c r="J8">
        <v>7.9000000000000001E-2</v>
      </c>
      <c r="K8">
        <v>6.2E-2</v>
      </c>
      <c r="L8">
        <v>7.4999999999999997E-2</v>
      </c>
      <c r="M8">
        <v>0.06</v>
      </c>
      <c r="N8">
        <v>5.2999999999999999E-2</v>
      </c>
      <c r="O8">
        <v>5.2999999999999999E-2</v>
      </c>
      <c r="P8">
        <v>4.0000000000000001E-3</v>
      </c>
      <c r="Q8">
        <v>-1.6E-2</v>
      </c>
      <c r="R8">
        <v>-0.02</v>
      </c>
      <c r="S8">
        <v>-4.5999999999999999E-2</v>
      </c>
      <c r="T8">
        <v>-6.0999999999999999E-2</v>
      </c>
      <c r="U8">
        <v>-6.7000000000000004E-2</v>
      </c>
      <c r="V8">
        <v>-6.0999999999999999E-2</v>
      </c>
      <c r="W8">
        <v>-2.8000000000000001E-2</v>
      </c>
      <c r="X8">
        <v>2.4E-2</v>
      </c>
      <c r="Y8">
        <v>7.9000000000000001E-2</v>
      </c>
      <c r="Z8">
        <v>0.13400000000000001</v>
      </c>
      <c r="AA8">
        <v>0.188</v>
      </c>
      <c r="AB8">
        <v>0.24099999999999999</v>
      </c>
      <c r="AC8">
        <v>0.29299999999999998</v>
      </c>
      <c r="AD8">
        <v>0.34399999999999997</v>
      </c>
      <c r="AE8">
        <v>0.42499999999999999</v>
      </c>
      <c r="AF8">
        <v>0.52</v>
      </c>
      <c r="AG8">
        <v>0.60299999999999998</v>
      </c>
      <c r="AH8">
        <v>0.56999999999999995</v>
      </c>
      <c r="AI8">
        <v>0.54900000000000004</v>
      </c>
      <c r="AJ8">
        <v>9.2030999999999992</v>
      </c>
      <c r="AK8">
        <v>0.36</v>
      </c>
      <c r="AL8">
        <v>-1.85</v>
      </c>
      <c r="AM8">
        <v>-0.5</v>
      </c>
      <c r="AN8">
        <v>-1.18</v>
      </c>
      <c r="AO8">
        <v>-9.5399999999999991</v>
      </c>
      <c r="AP8">
        <v>-14.73</v>
      </c>
      <c r="AQ8">
        <v>-30.78</v>
      </c>
      <c r="AR8">
        <v>-51.83</v>
      </c>
      <c r="AS8">
        <v>-89.42</v>
      </c>
      <c r="AT8">
        <v>-112.39</v>
      </c>
      <c r="AU8">
        <v>-137.69999999999999</v>
      </c>
      <c r="AV8">
        <v>-165.43</v>
      </c>
      <c r="AW8">
        <v>-215.75</v>
      </c>
      <c r="AX8">
        <v>-238.7</v>
      </c>
      <c r="AY8">
        <v>-258.85000000000002</v>
      </c>
      <c r="AZ8">
        <v>-294.49</v>
      </c>
      <c r="BA8">
        <v>-313.66000000000003</v>
      </c>
      <c r="BB8">
        <v>-325.45</v>
      </c>
      <c r="BC8">
        <v>-380.5</v>
      </c>
      <c r="BD8">
        <v>-434.7</v>
      </c>
      <c r="BE8">
        <v>-494.4</v>
      </c>
      <c r="BF8">
        <v>-552.9</v>
      </c>
      <c r="BG8">
        <v>-669.3</v>
      </c>
      <c r="BH8">
        <v>-760.01</v>
      </c>
      <c r="BI8">
        <v>-1088.44</v>
      </c>
      <c r="BJ8">
        <v>-1489.34</v>
      </c>
      <c r="BK8">
        <v>-1834</v>
      </c>
      <c r="BL8">
        <v>-2407.0300000000002</v>
      </c>
      <c r="BM8">
        <v>-2755</v>
      </c>
      <c r="BN8">
        <v>-3112</v>
      </c>
      <c r="BO8">
        <v>-3457</v>
      </c>
    </row>
    <row r="9" spans="1:67" x14ac:dyDescent="0.25">
      <c r="B9" s="2">
        <v>43987</v>
      </c>
      <c r="C9">
        <v>9.0999999999999998E-2</v>
      </c>
      <c r="D9">
        <v>7.5999999999999998E-2</v>
      </c>
      <c r="E9">
        <v>8.5999999999999993E-2</v>
      </c>
      <c r="F9">
        <v>8.8999999999999996E-2</v>
      </c>
      <c r="G9">
        <v>7.1999999999999995E-2</v>
      </c>
      <c r="H9">
        <v>8.5000000000000006E-2</v>
      </c>
      <c r="I9">
        <v>8.3000000000000004E-2</v>
      </c>
      <c r="J9">
        <v>6.6000000000000003E-2</v>
      </c>
      <c r="K9">
        <v>6.4000000000000001E-2</v>
      </c>
      <c r="L9">
        <v>6.0999999999999999E-2</v>
      </c>
      <c r="M9">
        <v>5.8999999999999997E-2</v>
      </c>
      <c r="N9">
        <v>7.3999999999999996E-2</v>
      </c>
      <c r="O9">
        <v>5.3999999999999999E-2</v>
      </c>
      <c r="P9">
        <v>-1E-3</v>
      </c>
      <c r="Q9">
        <v>1.9E-2</v>
      </c>
      <c r="R9">
        <v>-2.1000000000000001E-2</v>
      </c>
      <c r="S9">
        <v>-4.2000000000000003E-2</v>
      </c>
      <c r="T9">
        <v>-5.5E-2</v>
      </c>
      <c r="U9">
        <v>-7.0999999999999994E-2</v>
      </c>
      <c r="V9">
        <v>-6.2E-2</v>
      </c>
      <c r="W9">
        <v>-2.4E-2</v>
      </c>
      <c r="X9">
        <v>2.9000000000000001E-2</v>
      </c>
      <c r="Y9">
        <v>8.5999999999999993E-2</v>
      </c>
      <c r="Z9">
        <v>0.14000000000000001</v>
      </c>
      <c r="AA9">
        <v>0.193</v>
      </c>
      <c r="AB9">
        <v>0.247</v>
      </c>
      <c r="AC9">
        <v>0.30199999999999999</v>
      </c>
      <c r="AD9">
        <v>0.35299999999999998</v>
      </c>
      <c r="AE9">
        <v>0.433</v>
      </c>
      <c r="AF9">
        <v>0.53</v>
      </c>
      <c r="AG9">
        <v>0.623</v>
      </c>
      <c r="AH9">
        <v>0.59799999999999998</v>
      </c>
      <c r="AI9">
        <v>0.56699999999999995</v>
      </c>
      <c r="AJ9">
        <v>9.2026000000000003</v>
      </c>
      <c r="AK9">
        <v>-0.64</v>
      </c>
      <c r="AL9">
        <v>-0.35</v>
      </c>
      <c r="AM9">
        <v>-0.15</v>
      </c>
      <c r="AN9">
        <v>-2.79</v>
      </c>
      <c r="AO9">
        <v>-8.39</v>
      </c>
      <c r="AP9">
        <v>-14.69</v>
      </c>
      <c r="AQ9">
        <v>-29.22</v>
      </c>
      <c r="AR9">
        <v>-55.29</v>
      </c>
      <c r="AS9">
        <v>-75.58</v>
      </c>
      <c r="AT9">
        <v>-114.55</v>
      </c>
      <c r="AU9">
        <v>-141.69999999999999</v>
      </c>
      <c r="AV9">
        <v>-159.31</v>
      </c>
      <c r="AW9">
        <v>-222.55</v>
      </c>
      <c r="AX9">
        <v>-244.05</v>
      </c>
      <c r="AY9">
        <v>-244.37</v>
      </c>
      <c r="AZ9">
        <v>-281.94</v>
      </c>
      <c r="BA9">
        <v>-298.49</v>
      </c>
      <c r="BB9">
        <v>-334.85</v>
      </c>
      <c r="BC9">
        <v>-383.2</v>
      </c>
      <c r="BD9">
        <v>-440.1</v>
      </c>
      <c r="BE9">
        <v>-517.6</v>
      </c>
      <c r="BF9">
        <v>-579.4</v>
      </c>
      <c r="BG9">
        <v>-787</v>
      </c>
      <c r="BH9">
        <v>-905.7</v>
      </c>
      <c r="BI9">
        <v>-1260.9000000000001</v>
      </c>
      <c r="BJ9">
        <v>-1718.9</v>
      </c>
      <c r="BK9">
        <v>-2216</v>
      </c>
      <c r="BL9">
        <v>-2764</v>
      </c>
      <c r="BM9">
        <v>-3257</v>
      </c>
      <c r="BN9">
        <v>-3729</v>
      </c>
      <c r="BO9">
        <v>-4124</v>
      </c>
    </row>
    <row r="10" spans="1:67" x14ac:dyDescent="0.25">
      <c r="B10" s="2">
        <v>43990</v>
      </c>
      <c r="C10">
        <v>0.10199999999999999</v>
      </c>
      <c r="D10">
        <v>0.104</v>
      </c>
      <c r="E10">
        <v>9.6000000000000002E-2</v>
      </c>
      <c r="F10">
        <v>9.8000000000000004E-2</v>
      </c>
      <c r="G10">
        <v>0.08</v>
      </c>
      <c r="H10">
        <v>7.5999999999999998E-2</v>
      </c>
      <c r="I10">
        <v>8.8999999999999996E-2</v>
      </c>
      <c r="J10">
        <v>8.6999999999999994E-2</v>
      </c>
      <c r="K10">
        <v>6.8000000000000005E-2</v>
      </c>
      <c r="L10">
        <v>8.3000000000000004E-2</v>
      </c>
      <c r="M10">
        <v>6.5000000000000002E-2</v>
      </c>
      <c r="N10">
        <v>6.4000000000000001E-2</v>
      </c>
      <c r="O10">
        <v>6.2E-2</v>
      </c>
      <c r="P10">
        <v>2E-3</v>
      </c>
      <c r="Q10">
        <v>2.1000000000000001E-2</v>
      </c>
      <c r="R10">
        <v>1.0999999999999999E-2</v>
      </c>
      <c r="S10">
        <v>-0.03</v>
      </c>
      <c r="T10">
        <v>-5.8999999999999997E-2</v>
      </c>
      <c r="U10">
        <v>-0.05</v>
      </c>
      <c r="V10">
        <v>-6.3E-2</v>
      </c>
      <c r="W10">
        <v>-2.4E-2</v>
      </c>
      <c r="X10">
        <v>3.5000000000000003E-2</v>
      </c>
      <c r="Y10">
        <v>9.5000000000000001E-2</v>
      </c>
      <c r="Z10">
        <v>0.15</v>
      </c>
      <c r="AA10">
        <v>0.20899999999999999</v>
      </c>
      <c r="AB10">
        <v>0.255</v>
      </c>
      <c r="AC10">
        <v>0.31</v>
      </c>
      <c r="AD10">
        <v>0.36499999999999999</v>
      </c>
      <c r="AE10">
        <v>0.47</v>
      </c>
      <c r="AF10">
        <v>0.56999999999999995</v>
      </c>
      <c r="AG10">
        <v>0.64</v>
      </c>
      <c r="AH10">
        <v>0.625</v>
      </c>
      <c r="AI10">
        <v>0.57999999999999996</v>
      </c>
      <c r="AJ10">
        <v>9.2071000000000005</v>
      </c>
      <c r="AK10">
        <v>0.33</v>
      </c>
      <c r="AL10">
        <v>-0.45</v>
      </c>
      <c r="AM10">
        <v>-0.4</v>
      </c>
      <c r="AN10">
        <v>-2.5</v>
      </c>
      <c r="AO10">
        <v>-9.24</v>
      </c>
      <c r="AP10">
        <v>-21.36</v>
      </c>
      <c r="AQ10">
        <v>-24.66</v>
      </c>
      <c r="AR10">
        <v>-51.36</v>
      </c>
      <c r="AS10">
        <v>-81</v>
      </c>
      <c r="AT10">
        <v>-117.7</v>
      </c>
      <c r="AU10">
        <v>-141.05000000000001</v>
      </c>
      <c r="AV10">
        <v>-162.66</v>
      </c>
      <c r="AW10">
        <v>-231.95</v>
      </c>
      <c r="AX10">
        <v>-257.5</v>
      </c>
      <c r="AY10">
        <v>-281.14999999999998</v>
      </c>
      <c r="AZ10">
        <v>-308.7</v>
      </c>
      <c r="BA10">
        <v>-334.8</v>
      </c>
      <c r="BB10">
        <v>-328.6</v>
      </c>
      <c r="BC10">
        <v>-403.8</v>
      </c>
      <c r="BD10">
        <v>-470.9</v>
      </c>
      <c r="BE10">
        <v>-550.20000000000005</v>
      </c>
      <c r="BF10">
        <v>-605.29999999999995</v>
      </c>
      <c r="BG10">
        <v>-774.7</v>
      </c>
      <c r="BH10">
        <v>-854.1</v>
      </c>
      <c r="BI10">
        <v>-1244.27</v>
      </c>
      <c r="BJ10">
        <v>-1524.1</v>
      </c>
      <c r="BK10">
        <v>-1984</v>
      </c>
      <c r="BL10">
        <v>-2451</v>
      </c>
      <c r="BM10">
        <v>-2899</v>
      </c>
      <c r="BN10">
        <v>-3264</v>
      </c>
      <c r="BO10">
        <v>-3549</v>
      </c>
    </row>
    <row r="11" spans="1:67" x14ac:dyDescent="0.25">
      <c r="B11" s="2">
        <v>43991</v>
      </c>
      <c r="C11">
        <v>0.10100000000000001</v>
      </c>
      <c r="D11">
        <v>9.9000000000000005E-2</v>
      </c>
      <c r="E11">
        <v>9.7000000000000003E-2</v>
      </c>
      <c r="F11">
        <v>9.9000000000000005E-2</v>
      </c>
      <c r="G11">
        <v>9.6000000000000002E-2</v>
      </c>
      <c r="H11">
        <v>9.2999999999999999E-2</v>
      </c>
      <c r="I11">
        <v>9.0999999999999998E-2</v>
      </c>
      <c r="J11">
        <v>7.1999999999999995E-2</v>
      </c>
      <c r="K11">
        <v>8.5999999999999993E-2</v>
      </c>
      <c r="L11">
        <v>6.8000000000000005E-2</v>
      </c>
      <c r="M11">
        <v>0.08</v>
      </c>
      <c r="N11">
        <v>6.2E-2</v>
      </c>
      <c r="O11">
        <v>4.8000000000000001E-2</v>
      </c>
      <c r="P11">
        <v>-5.0000000000000001E-3</v>
      </c>
      <c r="Q11">
        <v>-1.7000000000000001E-2</v>
      </c>
      <c r="R11">
        <v>1.0999999999999999E-2</v>
      </c>
      <c r="S11">
        <v>-4.3999999999999997E-2</v>
      </c>
      <c r="T11">
        <v>-0.04</v>
      </c>
      <c r="U11">
        <v>-0.05</v>
      </c>
      <c r="V11">
        <v>-7.0999999999999994E-2</v>
      </c>
      <c r="W11">
        <v>-3.5999999999999997E-2</v>
      </c>
      <c r="X11">
        <v>2.5000000000000001E-2</v>
      </c>
      <c r="Y11">
        <v>8.5000000000000006E-2</v>
      </c>
      <c r="Z11">
        <v>0.14099999999999999</v>
      </c>
      <c r="AA11">
        <v>0.19700000000000001</v>
      </c>
      <c r="AB11">
        <v>0.251</v>
      </c>
      <c r="AC11">
        <v>0.30499999999999999</v>
      </c>
      <c r="AD11">
        <v>0.35599999999999998</v>
      </c>
      <c r="AE11">
        <v>0.44500000000000001</v>
      </c>
      <c r="AF11">
        <v>0.54200000000000004</v>
      </c>
      <c r="AG11">
        <v>0.621</v>
      </c>
      <c r="AH11">
        <v>0.61</v>
      </c>
      <c r="AI11">
        <v>0.56899999999999995</v>
      </c>
      <c r="AJ11">
        <v>9.2136999999999993</v>
      </c>
      <c r="AK11">
        <v>-7.0000000000000007E-2</v>
      </c>
      <c r="AL11">
        <v>-0.35</v>
      </c>
      <c r="AM11">
        <v>-0.27</v>
      </c>
      <c r="AN11">
        <v>1</v>
      </c>
      <c r="AO11">
        <v>-8.99</v>
      </c>
      <c r="AP11">
        <v>-21.79</v>
      </c>
      <c r="AQ11">
        <v>-26.38</v>
      </c>
      <c r="AR11">
        <v>-53.76</v>
      </c>
      <c r="AS11">
        <v>-81.96</v>
      </c>
      <c r="AT11">
        <v>-119.85</v>
      </c>
      <c r="AU11">
        <v>-147.94999999999999</v>
      </c>
      <c r="AV11">
        <v>-177.76</v>
      </c>
      <c r="AW11">
        <v>-229.55</v>
      </c>
      <c r="AX11">
        <v>-253.85</v>
      </c>
      <c r="AY11">
        <v>-275.2</v>
      </c>
      <c r="AZ11">
        <v>-286.98</v>
      </c>
      <c r="BA11">
        <v>-305.95</v>
      </c>
      <c r="BB11">
        <v>-346.45</v>
      </c>
      <c r="BC11">
        <v>-402.81</v>
      </c>
      <c r="BD11">
        <v>-455.26</v>
      </c>
      <c r="BE11">
        <v>-539.5</v>
      </c>
      <c r="BF11">
        <v>-603.1</v>
      </c>
      <c r="BG11">
        <v>-757.2</v>
      </c>
      <c r="BH11">
        <v>-789.51</v>
      </c>
      <c r="BI11">
        <v>-1086.22</v>
      </c>
      <c r="BJ11">
        <v>-1187.3</v>
      </c>
      <c r="BK11">
        <v>-1612</v>
      </c>
      <c r="BL11">
        <v>-2031</v>
      </c>
      <c r="BM11">
        <v>-2446</v>
      </c>
      <c r="BN11">
        <v>-2800</v>
      </c>
      <c r="BO11">
        <v>-3075</v>
      </c>
    </row>
    <row r="12" spans="1:67" x14ac:dyDescent="0.25">
      <c r="B12" s="2">
        <v>43992</v>
      </c>
      <c r="C12">
        <v>9.0999999999999998E-2</v>
      </c>
      <c r="D12">
        <v>0.10300000000000001</v>
      </c>
      <c r="E12">
        <v>0.10100000000000001</v>
      </c>
      <c r="F12">
        <v>8.1000000000000003E-2</v>
      </c>
      <c r="G12">
        <v>7.7000000000000013E-2</v>
      </c>
      <c r="H12">
        <v>8.8999999999999996E-2</v>
      </c>
      <c r="I12">
        <v>7.0000000000000007E-2</v>
      </c>
      <c r="J12">
        <v>6.7000000000000004E-2</v>
      </c>
      <c r="K12">
        <v>0.08</v>
      </c>
      <c r="L12">
        <v>7.7000000000000013E-2</v>
      </c>
      <c r="M12">
        <v>5.7000000000000002E-2</v>
      </c>
      <c r="N12">
        <v>5.4000000000000006E-2</v>
      </c>
      <c r="O12">
        <v>3.7999999999999999E-2</v>
      </c>
      <c r="P12">
        <v>1E-3</v>
      </c>
      <c r="Q12">
        <v>-4.0000000000000001E-3</v>
      </c>
      <c r="R12">
        <v>-6.0000000000000001E-3</v>
      </c>
      <c r="S12">
        <v>-2.8000000000000001E-2</v>
      </c>
      <c r="T12">
        <v>-4.8000000000000001E-2</v>
      </c>
      <c r="U12">
        <v>-5.9000000000000004E-2</v>
      </c>
      <c r="V12">
        <v>-6.3E-2</v>
      </c>
      <c r="W12">
        <v>-2.1000000000000001E-2</v>
      </c>
      <c r="X12">
        <v>4.5999999999999999E-2</v>
      </c>
      <c r="Y12">
        <v>9.5000000000000001E-2</v>
      </c>
      <c r="Z12">
        <v>0.15000000000000002</v>
      </c>
      <c r="AA12">
        <v>0.20500000000000002</v>
      </c>
      <c r="AB12">
        <v>0.26500000000000001</v>
      </c>
      <c r="AC12">
        <v>0.32</v>
      </c>
      <c r="AD12">
        <v>0.375</v>
      </c>
      <c r="AE12">
        <v>0.47500000000000003</v>
      </c>
      <c r="AF12">
        <v>0.57500000000000007</v>
      </c>
      <c r="AG12">
        <v>0.64500000000000002</v>
      </c>
      <c r="AH12">
        <v>0.625</v>
      </c>
      <c r="AI12">
        <v>0.57999999999999996</v>
      </c>
      <c r="AJ12">
        <v>9.2378999999999998</v>
      </c>
      <c r="AK12">
        <v>0.3</v>
      </c>
      <c r="AL12">
        <v>-0.64</v>
      </c>
      <c r="AM12">
        <v>-1.83</v>
      </c>
      <c r="AN12">
        <v>-3.43</v>
      </c>
      <c r="AO12">
        <v>-10.56</v>
      </c>
      <c r="AP12">
        <v>-24.21</v>
      </c>
      <c r="AQ12">
        <v>-26.75</v>
      </c>
      <c r="AR12">
        <v>-54.59</v>
      </c>
      <c r="AS12">
        <v>-93.1</v>
      </c>
      <c r="AT12">
        <v>-123.05</v>
      </c>
      <c r="AU12">
        <v>-148.05000000000001</v>
      </c>
      <c r="AV12">
        <v>-170.15</v>
      </c>
      <c r="AW12">
        <v>-237.25</v>
      </c>
      <c r="AX12">
        <v>-264.5</v>
      </c>
      <c r="AY12">
        <v>-268.19</v>
      </c>
      <c r="AZ12">
        <v>-310.43</v>
      </c>
      <c r="BA12">
        <v>-333.93</v>
      </c>
      <c r="BB12">
        <v>-344.3</v>
      </c>
      <c r="BC12">
        <v>-405.6</v>
      </c>
      <c r="BD12">
        <v>-482.1</v>
      </c>
      <c r="BE12">
        <v>-552.70000000000005</v>
      </c>
      <c r="BF12">
        <v>-617.79999999999995</v>
      </c>
      <c r="BG12">
        <v>-693</v>
      </c>
      <c r="BH12">
        <v>-787.8</v>
      </c>
      <c r="BI12">
        <v>-1023.5</v>
      </c>
      <c r="BJ12">
        <v>-1308.25</v>
      </c>
      <c r="BK12">
        <v>-1701</v>
      </c>
      <c r="BL12">
        <v>-2051</v>
      </c>
      <c r="BM12">
        <v>-2399</v>
      </c>
      <c r="BN12">
        <v>-2684</v>
      </c>
      <c r="BO12">
        <v>-2873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F34" sqref="F34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753</v>
      </c>
      <c r="C1" t="str">
        <f>bid!AX1</f>
        <v>SEK8M=</v>
      </c>
      <c r="D1" t="str">
        <f>bid!AY1</f>
        <v>SEK9M=</v>
      </c>
      <c r="E1" t="str">
        <f>bid!AZ1</f>
        <v>SEK10M=</v>
      </c>
      <c r="F1" t="str">
        <f>bid!BA1</f>
        <v>SEK11M=</v>
      </c>
      <c r="G1" t="str">
        <f>bid!BB1</f>
        <v>SEK1Y=</v>
      </c>
      <c r="H1" t="str">
        <f>bid!BC1</f>
        <v>SEK15M=</v>
      </c>
      <c r="I1" t="str">
        <f>bid!BD1</f>
        <v>SEK18M=</v>
      </c>
      <c r="J1" t="str">
        <f>bid!BE1</f>
        <v>SEK21M=</v>
      </c>
      <c r="K1" t="str">
        <f>bid!BF1</f>
        <v>SEK2Y=</v>
      </c>
      <c r="L1" t="str">
        <f>bid!BG1</f>
        <v>SEK30M=</v>
      </c>
      <c r="M1" t="str">
        <f>bid!BH1</f>
        <v>SEK3Y=</v>
      </c>
      <c r="N1" t="str">
        <f>bid!BI1</f>
        <v>SEK4Y=</v>
      </c>
      <c r="O1" t="str">
        <f>bid!BJ1</f>
        <v>SEK5Y=</v>
      </c>
      <c r="P1" t="str">
        <f>bid!BK1</f>
        <v>SEK6Y=</v>
      </c>
      <c r="Q1" t="str">
        <f>bid!BL1</f>
        <v>SEK7Y=</v>
      </c>
      <c r="R1" t="str">
        <f>bid!BM1</f>
        <v>SEK8Y=</v>
      </c>
      <c r="S1" t="str">
        <f>bid!BN1</f>
        <v>SEK9Y=</v>
      </c>
      <c r="T1" t="str">
        <f>bid!BO1</f>
        <v>SEK10Y=</v>
      </c>
      <c r="U1">
        <f>bid!BP1</f>
        <v>0</v>
      </c>
      <c r="V1">
        <f>bid!BQ1</f>
        <v>0</v>
      </c>
      <c r="W1">
        <f>bid!BR1</f>
        <v>0</v>
      </c>
      <c r="X1">
        <f>bid!BS1</f>
        <v>0</v>
      </c>
    </row>
    <row r="2" spans="1:24" x14ac:dyDescent="0.25">
      <c r="A2" t="s">
        <v>754</v>
      </c>
      <c r="B2">
        <v>0</v>
      </c>
      <c r="C2">
        <f>AVERAGE(bid!AX3,ask!AX3)/10000</f>
        <v>-2.3602499999999998E-2</v>
      </c>
      <c r="D2">
        <f>AVERAGE(bid!AY3,ask!AY3)/10000</f>
        <v>-2.5902499999999998E-2</v>
      </c>
      <c r="E2">
        <f>AVERAGE(bid!AZ3,ask!AZ3)/10000</f>
        <v>-2.8622000000000002E-2</v>
      </c>
      <c r="F2">
        <f>AVERAGE(bid!BA3,ask!BA3)/10000</f>
        <v>-3.1032000000000001E-2</v>
      </c>
      <c r="G2">
        <f>AVERAGE(bid!BB3,ask!BB3)/10000</f>
        <v>-3.3067499999999993E-2</v>
      </c>
      <c r="H2">
        <f>AVERAGE(bid!BC3,ask!BC3)/10000</f>
        <v>-3.9350000000000003E-2</v>
      </c>
      <c r="I2">
        <f>AVERAGE(bid!BD3,ask!BD3)/10000</f>
        <v>-4.5894999999999998E-2</v>
      </c>
      <c r="J2">
        <f>AVERAGE(bid!BE3,ask!BE3)/10000</f>
        <v>-5.3810000000000004E-2</v>
      </c>
      <c r="K2">
        <f>AVERAGE(bid!BF3,ask!BF3)/10000</f>
        <v>-6.1289999999999997E-2</v>
      </c>
      <c r="L2">
        <f>AVERAGE(bid!BG3,ask!BG3)/10000</f>
        <v>-7.4200000000000002E-2</v>
      </c>
      <c r="M2">
        <f>AVERAGE(bid!BH3,ask!BH3)/10000</f>
        <v>-8.659E-2</v>
      </c>
      <c r="N2">
        <f>AVERAGE(bid!BI3,ask!BI3)/10000</f>
        <v>-0.11801500000000001</v>
      </c>
      <c r="O2">
        <f>AVERAGE(bid!BJ3,ask!BJ3)/10000</f>
        <v>-0.15289</v>
      </c>
      <c r="P2">
        <f>AVERAGE(bid!BK3,ask!BK3)/10000</f>
        <v>-0.19120000000000001</v>
      </c>
      <c r="Q2">
        <f>AVERAGE(bid!BL3,ask!BL3)/10000</f>
        <v>-0.2291</v>
      </c>
      <c r="R2">
        <f>AVERAGE(bid!BM3,ask!BM3)/10000</f>
        <v>-0.2656</v>
      </c>
      <c r="S2">
        <f>AVERAGE(bid!BN3,ask!BN3)/10000</f>
        <v>-0.2949</v>
      </c>
      <c r="T2">
        <f>AVERAGE(bid!BO3,ask!BO3)/10000</f>
        <v>-0.3206</v>
      </c>
      <c r="U2" t="e">
        <f>AVERAGE(bid!BP3,ask!BP3)/10000</f>
        <v>#DIV/0!</v>
      </c>
      <c r="V2" t="e">
        <f>AVERAGE(bid!BQ3,ask!BQ3)/10000</f>
        <v>#DIV/0!</v>
      </c>
      <c r="W2" t="e">
        <f>AVERAGE(bid!BR3,ask!BR3)/10000</f>
        <v>#DIV/0!</v>
      </c>
      <c r="X2" t="e">
        <f>AVERAGE(bid!BS3,ask!BS3)/10000</f>
        <v>#DIV/0!</v>
      </c>
    </row>
    <row r="3" spans="1:24" x14ac:dyDescent="0.25">
      <c r="A3" t="s">
        <v>755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SEK7M=</v>
      </c>
    </row>
    <row r="7" spans="1:24" x14ac:dyDescent="0.25">
      <c r="C7">
        <f>AVERAGE(bid!AW3,ask!AW3)</f>
        <v>-213.22500000000002</v>
      </c>
    </row>
    <row r="8" spans="1:24" x14ac:dyDescent="0.25">
      <c r="B8" s="10" t="s">
        <v>756</v>
      </c>
      <c r="C8" s="10" t="s">
        <v>757</v>
      </c>
      <c r="D8" s="10" t="s">
        <v>749</v>
      </c>
      <c r="E8" s="10" t="s">
        <v>759</v>
      </c>
      <c r="F8" s="10" t="s">
        <v>758</v>
      </c>
      <c r="G8" s="10" t="s">
        <v>760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-213.22493900000003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-213.22497950000002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-213.22497950000002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-213.22485700000001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-213.22471650000003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-213.22456750000003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-213.22433550000002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-213.22358550000001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-213.22287050000003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-213.22212250000001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-213.22137750000002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-213.22056700000002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-213.21943050000002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-213.21869150000003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-213.21798450000003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-213.21704950000003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-213.21639250000001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-213.21555900000001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-213.21329250000002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-213.21094950000003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-213.20846150000003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-213.20619950000003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BC6DD-12F4-4E66-B05F-5011D5FC7984}">
  <sheetPr codeName="Sheet7"/>
  <dimension ref="B3:B524"/>
  <sheetViews>
    <sheetView zoomScale="85" zoomScaleNormal="85" workbookViewId="0">
      <selection activeCell="G24" sqref="G24"/>
    </sheetView>
  </sheetViews>
  <sheetFormatPr defaultRowHeight="15" x14ac:dyDescent="0.25"/>
  <sheetData>
    <row r="3" spans="2:2" x14ac:dyDescent="0.25">
      <c r="B3" s="2"/>
    </row>
    <row r="4" spans="2:2" x14ac:dyDescent="0.25">
      <c r="B4" s="2"/>
    </row>
    <row r="5" spans="2:2" x14ac:dyDescent="0.25">
      <c r="B5" s="2"/>
    </row>
    <row r="6" spans="2:2" x14ac:dyDescent="0.25">
      <c r="B6" s="2"/>
    </row>
    <row r="7" spans="2:2" x14ac:dyDescent="0.25">
      <c r="B7" s="2"/>
    </row>
    <row r="8" spans="2:2" x14ac:dyDescent="0.25">
      <c r="B8" s="2"/>
    </row>
    <row r="9" spans="2:2" x14ac:dyDescent="0.25">
      <c r="B9" s="2"/>
    </row>
    <row r="10" spans="2:2" x14ac:dyDescent="0.25">
      <c r="B10" s="2"/>
    </row>
    <row r="11" spans="2:2" x14ac:dyDescent="0.25">
      <c r="B11" s="2"/>
    </row>
    <row r="12" spans="2:2" x14ac:dyDescent="0.25">
      <c r="B12" s="2"/>
    </row>
    <row r="13" spans="2:2" x14ac:dyDescent="0.25">
      <c r="B13" s="2"/>
    </row>
    <row r="14" spans="2:2" x14ac:dyDescent="0.25">
      <c r="B14" s="2"/>
    </row>
    <row r="15" spans="2:2" x14ac:dyDescent="0.25">
      <c r="B15" s="2"/>
    </row>
    <row r="16" spans="2:2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4" spans="2:2" x14ac:dyDescent="0.25">
      <c r="B174" s="2"/>
    </row>
    <row r="175" spans="2:2" x14ac:dyDescent="0.25">
      <c r="B175" s="2"/>
    </row>
    <row r="176" spans="2:2" x14ac:dyDescent="0.25">
      <c r="B176" s="2"/>
    </row>
    <row r="177" spans="2:2" x14ac:dyDescent="0.25">
      <c r="B177" s="2"/>
    </row>
    <row r="178" spans="2:2" x14ac:dyDescent="0.25">
      <c r="B178" s="2"/>
    </row>
    <row r="179" spans="2:2" x14ac:dyDescent="0.25">
      <c r="B179" s="2"/>
    </row>
    <row r="180" spans="2:2" x14ac:dyDescent="0.25">
      <c r="B180" s="2"/>
    </row>
    <row r="181" spans="2:2" x14ac:dyDescent="0.25">
      <c r="B181" s="2"/>
    </row>
    <row r="182" spans="2:2" x14ac:dyDescent="0.25">
      <c r="B182" s="2"/>
    </row>
    <row r="183" spans="2:2" x14ac:dyDescent="0.25">
      <c r="B183" s="2"/>
    </row>
    <row r="184" spans="2:2" x14ac:dyDescent="0.25">
      <c r="B184" s="2"/>
    </row>
    <row r="185" spans="2:2" x14ac:dyDescent="0.25">
      <c r="B185" s="2"/>
    </row>
    <row r="186" spans="2:2" x14ac:dyDescent="0.25">
      <c r="B186" s="2"/>
    </row>
    <row r="187" spans="2:2" x14ac:dyDescent="0.25">
      <c r="B187" s="2"/>
    </row>
    <row r="188" spans="2:2" x14ac:dyDescent="0.25">
      <c r="B188" s="2"/>
    </row>
    <row r="189" spans="2:2" x14ac:dyDescent="0.25">
      <c r="B189" s="2"/>
    </row>
    <row r="190" spans="2:2" x14ac:dyDescent="0.25">
      <c r="B190" s="2"/>
    </row>
    <row r="191" spans="2:2" x14ac:dyDescent="0.25">
      <c r="B191" s="2"/>
    </row>
    <row r="192" spans="2:2" x14ac:dyDescent="0.25">
      <c r="B192" s="2"/>
    </row>
    <row r="193" spans="2:2" x14ac:dyDescent="0.25">
      <c r="B193" s="2"/>
    </row>
    <row r="194" spans="2:2" x14ac:dyDescent="0.25">
      <c r="B194" s="2"/>
    </row>
    <row r="195" spans="2:2" x14ac:dyDescent="0.25">
      <c r="B195" s="2"/>
    </row>
    <row r="196" spans="2:2" x14ac:dyDescent="0.25">
      <c r="B196" s="2"/>
    </row>
    <row r="197" spans="2:2" x14ac:dyDescent="0.25">
      <c r="B197" s="2"/>
    </row>
    <row r="198" spans="2:2" x14ac:dyDescent="0.25">
      <c r="B198" s="2"/>
    </row>
    <row r="199" spans="2:2" x14ac:dyDescent="0.25">
      <c r="B199" s="2"/>
    </row>
    <row r="200" spans="2:2" x14ac:dyDescent="0.25">
      <c r="B200" s="2"/>
    </row>
    <row r="201" spans="2:2" x14ac:dyDescent="0.25">
      <c r="B201" s="2"/>
    </row>
    <row r="202" spans="2:2" x14ac:dyDescent="0.25">
      <c r="B202" s="2"/>
    </row>
    <row r="203" spans="2:2" x14ac:dyDescent="0.25">
      <c r="B203" s="2"/>
    </row>
    <row r="204" spans="2:2" x14ac:dyDescent="0.25">
      <c r="B204" s="2"/>
    </row>
    <row r="205" spans="2:2" x14ac:dyDescent="0.25">
      <c r="B205" s="2"/>
    </row>
    <row r="206" spans="2:2" x14ac:dyDescent="0.25">
      <c r="B206" s="2"/>
    </row>
    <row r="207" spans="2:2" x14ac:dyDescent="0.25">
      <c r="B207" s="2"/>
    </row>
    <row r="208" spans="2:2" x14ac:dyDescent="0.25">
      <c r="B208" s="2"/>
    </row>
    <row r="209" spans="2:2" x14ac:dyDescent="0.25">
      <c r="B209" s="2"/>
    </row>
    <row r="210" spans="2:2" x14ac:dyDescent="0.25">
      <c r="B210" s="2"/>
    </row>
    <row r="211" spans="2:2" x14ac:dyDescent="0.25">
      <c r="B211" s="2"/>
    </row>
    <row r="212" spans="2:2" x14ac:dyDescent="0.25">
      <c r="B212" s="2"/>
    </row>
    <row r="213" spans="2:2" x14ac:dyDescent="0.25">
      <c r="B213" s="2"/>
    </row>
    <row r="214" spans="2:2" x14ac:dyDescent="0.25">
      <c r="B214" s="2"/>
    </row>
    <row r="215" spans="2:2" x14ac:dyDescent="0.25">
      <c r="B215" s="2"/>
    </row>
    <row r="216" spans="2:2" x14ac:dyDescent="0.25">
      <c r="B216" s="2"/>
    </row>
    <row r="217" spans="2:2" x14ac:dyDescent="0.25">
      <c r="B217" s="2"/>
    </row>
    <row r="218" spans="2:2" x14ac:dyDescent="0.25">
      <c r="B218" s="2"/>
    </row>
    <row r="219" spans="2:2" x14ac:dyDescent="0.25">
      <c r="B219" s="2"/>
    </row>
    <row r="220" spans="2:2" x14ac:dyDescent="0.25">
      <c r="B220" s="2"/>
    </row>
    <row r="221" spans="2:2" x14ac:dyDescent="0.25">
      <c r="B221" s="2"/>
    </row>
    <row r="222" spans="2:2" x14ac:dyDescent="0.25">
      <c r="B222" s="2"/>
    </row>
    <row r="223" spans="2:2" x14ac:dyDescent="0.25">
      <c r="B223" s="2"/>
    </row>
    <row r="224" spans="2:2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  <row r="259" spans="2:2" x14ac:dyDescent="0.25">
      <c r="B259" s="2"/>
    </row>
    <row r="260" spans="2:2" x14ac:dyDescent="0.25">
      <c r="B260" s="2"/>
    </row>
    <row r="261" spans="2:2" x14ac:dyDescent="0.25">
      <c r="B261" s="2"/>
    </row>
    <row r="262" spans="2:2" x14ac:dyDescent="0.25">
      <c r="B262" s="2"/>
    </row>
    <row r="263" spans="2:2" x14ac:dyDescent="0.25">
      <c r="B263" s="2"/>
    </row>
    <row r="264" spans="2:2" x14ac:dyDescent="0.25">
      <c r="B264" s="2"/>
    </row>
    <row r="265" spans="2:2" x14ac:dyDescent="0.25">
      <c r="B265" s="2"/>
    </row>
    <row r="266" spans="2:2" x14ac:dyDescent="0.25">
      <c r="B266" s="2"/>
    </row>
    <row r="267" spans="2:2" x14ac:dyDescent="0.25">
      <c r="B267" s="2"/>
    </row>
    <row r="268" spans="2:2" x14ac:dyDescent="0.25">
      <c r="B268" s="2"/>
    </row>
    <row r="269" spans="2:2" x14ac:dyDescent="0.25">
      <c r="B269" s="2"/>
    </row>
    <row r="270" spans="2:2" x14ac:dyDescent="0.25">
      <c r="B270" s="2"/>
    </row>
    <row r="271" spans="2:2" x14ac:dyDescent="0.25">
      <c r="B271" s="2"/>
    </row>
    <row r="272" spans="2:2" x14ac:dyDescent="0.25">
      <c r="B272" s="2"/>
    </row>
    <row r="273" spans="2:2" x14ac:dyDescent="0.25">
      <c r="B273" s="2"/>
    </row>
    <row r="274" spans="2:2" x14ac:dyDescent="0.25">
      <c r="B274" s="2"/>
    </row>
    <row r="275" spans="2:2" x14ac:dyDescent="0.25">
      <c r="B275" s="2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2"/>
    </row>
    <row r="281" spans="2:2" x14ac:dyDescent="0.25">
      <c r="B281" s="2"/>
    </row>
    <row r="282" spans="2:2" x14ac:dyDescent="0.25">
      <c r="B282" s="2"/>
    </row>
    <row r="283" spans="2:2" x14ac:dyDescent="0.25">
      <c r="B283" s="2"/>
    </row>
    <row r="284" spans="2:2" x14ac:dyDescent="0.25">
      <c r="B284" s="2"/>
    </row>
    <row r="285" spans="2:2" x14ac:dyDescent="0.25">
      <c r="B285" s="2"/>
    </row>
    <row r="286" spans="2:2" x14ac:dyDescent="0.25">
      <c r="B286" s="2"/>
    </row>
    <row r="287" spans="2:2" x14ac:dyDescent="0.25">
      <c r="B287" s="2"/>
    </row>
    <row r="288" spans="2:2" x14ac:dyDescent="0.25">
      <c r="B288" s="2"/>
    </row>
    <row r="289" spans="2:2" x14ac:dyDescent="0.25">
      <c r="B289" s="2"/>
    </row>
    <row r="290" spans="2:2" x14ac:dyDescent="0.25">
      <c r="B290" s="2"/>
    </row>
    <row r="291" spans="2:2" x14ac:dyDescent="0.25">
      <c r="B291" s="2"/>
    </row>
    <row r="292" spans="2:2" x14ac:dyDescent="0.25">
      <c r="B292" s="2"/>
    </row>
    <row r="293" spans="2:2" x14ac:dyDescent="0.25">
      <c r="B293" s="2"/>
    </row>
    <row r="294" spans="2:2" x14ac:dyDescent="0.25">
      <c r="B294" s="2"/>
    </row>
    <row r="295" spans="2:2" x14ac:dyDescent="0.25">
      <c r="B295" s="2"/>
    </row>
    <row r="296" spans="2:2" x14ac:dyDescent="0.25">
      <c r="B296" s="2"/>
    </row>
    <row r="297" spans="2:2" x14ac:dyDescent="0.25">
      <c r="B297" s="2"/>
    </row>
    <row r="298" spans="2:2" x14ac:dyDescent="0.25">
      <c r="B298" s="2"/>
    </row>
    <row r="299" spans="2:2" x14ac:dyDescent="0.25">
      <c r="B299" s="2"/>
    </row>
    <row r="300" spans="2:2" x14ac:dyDescent="0.25">
      <c r="B300" s="2"/>
    </row>
    <row r="301" spans="2:2" x14ac:dyDescent="0.25">
      <c r="B301" s="2"/>
    </row>
    <row r="302" spans="2:2" x14ac:dyDescent="0.25">
      <c r="B302" s="2"/>
    </row>
    <row r="303" spans="2:2" x14ac:dyDescent="0.25">
      <c r="B303" s="2"/>
    </row>
    <row r="304" spans="2:2" x14ac:dyDescent="0.25">
      <c r="B304" s="2"/>
    </row>
    <row r="305" spans="2:2" x14ac:dyDescent="0.25">
      <c r="B305" s="2"/>
    </row>
    <row r="306" spans="2:2" x14ac:dyDescent="0.25">
      <c r="B306" s="2"/>
    </row>
    <row r="307" spans="2:2" x14ac:dyDescent="0.25">
      <c r="B307" s="2"/>
    </row>
    <row r="308" spans="2:2" x14ac:dyDescent="0.25">
      <c r="B308" s="2"/>
    </row>
    <row r="309" spans="2:2" x14ac:dyDescent="0.25">
      <c r="B309" s="2"/>
    </row>
    <row r="310" spans="2:2" x14ac:dyDescent="0.25">
      <c r="B310" s="2"/>
    </row>
    <row r="311" spans="2:2" x14ac:dyDescent="0.25">
      <c r="B311" s="2"/>
    </row>
    <row r="312" spans="2:2" x14ac:dyDescent="0.25">
      <c r="B312" s="2"/>
    </row>
    <row r="313" spans="2:2" x14ac:dyDescent="0.25">
      <c r="B313" s="2"/>
    </row>
    <row r="314" spans="2:2" x14ac:dyDescent="0.25">
      <c r="B314" s="2"/>
    </row>
    <row r="315" spans="2:2" x14ac:dyDescent="0.25">
      <c r="B315" s="2"/>
    </row>
    <row r="316" spans="2:2" x14ac:dyDescent="0.25">
      <c r="B316" s="2"/>
    </row>
    <row r="317" spans="2:2" x14ac:dyDescent="0.25">
      <c r="B317" s="2"/>
    </row>
    <row r="318" spans="2:2" x14ac:dyDescent="0.25">
      <c r="B318" s="2"/>
    </row>
    <row r="319" spans="2:2" x14ac:dyDescent="0.25">
      <c r="B319" s="2"/>
    </row>
    <row r="320" spans="2:2" x14ac:dyDescent="0.25">
      <c r="B320" s="2"/>
    </row>
    <row r="321" spans="2:2" x14ac:dyDescent="0.25">
      <c r="B321" s="2"/>
    </row>
    <row r="322" spans="2:2" x14ac:dyDescent="0.25">
      <c r="B322" s="2"/>
    </row>
    <row r="323" spans="2:2" x14ac:dyDescent="0.25">
      <c r="B323" s="2"/>
    </row>
    <row r="324" spans="2:2" x14ac:dyDescent="0.25">
      <c r="B324" s="2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2"/>
    </row>
    <row r="329" spans="2:2" x14ac:dyDescent="0.25">
      <c r="B329" s="2"/>
    </row>
    <row r="330" spans="2:2" x14ac:dyDescent="0.25">
      <c r="B330" s="2"/>
    </row>
    <row r="331" spans="2:2" x14ac:dyDescent="0.25">
      <c r="B331" s="2"/>
    </row>
    <row r="332" spans="2:2" x14ac:dyDescent="0.25">
      <c r="B332" s="2"/>
    </row>
    <row r="333" spans="2:2" x14ac:dyDescent="0.25">
      <c r="B333" s="2"/>
    </row>
    <row r="334" spans="2:2" x14ac:dyDescent="0.25">
      <c r="B334" s="2"/>
    </row>
    <row r="335" spans="2:2" x14ac:dyDescent="0.25">
      <c r="B335" s="2"/>
    </row>
    <row r="336" spans="2:2" x14ac:dyDescent="0.25">
      <c r="B336" s="2"/>
    </row>
    <row r="337" spans="2:2" x14ac:dyDescent="0.25">
      <c r="B337" s="2"/>
    </row>
    <row r="338" spans="2:2" x14ac:dyDescent="0.25">
      <c r="B338" s="2"/>
    </row>
    <row r="339" spans="2:2" x14ac:dyDescent="0.25">
      <c r="B339" s="2"/>
    </row>
    <row r="340" spans="2:2" x14ac:dyDescent="0.25">
      <c r="B340" s="2"/>
    </row>
    <row r="341" spans="2:2" x14ac:dyDescent="0.25">
      <c r="B341" s="2"/>
    </row>
    <row r="342" spans="2:2" x14ac:dyDescent="0.25">
      <c r="B342" s="2"/>
    </row>
    <row r="343" spans="2:2" x14ac:dyDescent="0.25">
      <c r="B343" s="2"/>
    </row>
    <row r="344" spans="2:2" x14ac:dyDescent="0.25">
      <c r="B344" s="2"/>
    </row>
    <row r="345" spans="2:2" x14ac:dyDescent="0.25">
      <c r="B345" s="2"/>
    </row>
    <row r="346" spans="2:2" x14ac:dyDescent="0.25">
      <c r="B346" s="2"/>
    </row>
    <row r="347" spans="2:2" x14ac:dyDescent="0.25">
      <c r="B347" s="2"/>
    </row>
    <row r="348" spans="2:2" x14ac:dyDescent="0.25">
      <c r="B348" s="2"/>
    </row>
    <row r="349" spans="2:2" x14ac:dyDescent="0.25">
      <c r="B349" s="2"/>
    </row>
    <row r="350" spans="2:2" x14ac:dyDescent="0.25">
      <c r="B350" s="2"/>
    </row>
    <row r="351" spans="2:2" x14ac:dyDescent="0.25">
      <c r="B351" s="2"/>
    </row>
    <row r="352" spans="2:2" x14ac:dyDescent="0.25">
      <c r="B352" s="2"/>
    </row>
    <row r="353" spans="2:2" x14ac:dyDescent="0.25">
      <c r="B353" s="2"/>
    </row>
    <row r="354" spans="2:2" x14ac:dyDescent="0.25">
      <c r="B354" s="2"/>
    </row>
    <row r="355" spans="2:2" x14ac:dyDescent="0.25">
      <c r="B355" s="2"/>
    </row>
    <row r="356" spans="2:2" x14ac:dyDescent="0.25">
      <c r="B356" s="2"/>
    </row>
    <row r="357" spans="2:2" x14ac:dyDescent="0.25">
      <c r="B357" s="2"/>
    </row>
    <row r="358" spans="2:2" x14ac:dyDescent="0.25">
      <c r="B358" s="2"/>
    </row>
    <row r="359" spans="2:2" x14ac:dyDescent="0.25">
      <c r="B359" s="2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2"/>
    </row>
    <row r="372" spans="2:2" x14ac:dyDescent="0.25">
      <c r="B372" s="2"/>
    </row>
    <row r="373" spans="2:2" x14ac:dyDescent="0.25">
      <c r="B373" s="2"/>
    </row>
    <row r="374" spans="2:2" x14ac:dyDescent="0.25">
      <c r="B374" s="2"/>
    </row>
    <row r="375" spans="2:2" x14ac:dyDescent="0.25">
      <c r="B375" s="2"/>
    </row>
    <row r="376" spans="2:2" x14ac:dyDescent="0.25">
      <c r="B376" s="2"/>
    </row>
    <row r="377" spans="2:2" x14ac:dyDescent="0.25">
      <c r="B377" s="2"/>
    </row>
    <row r="378" spans="2:2" x14ac:dyDescent="0.25">
      <c r="B378" s="2"/>
    </row>
    <row r="379" spans="2:2" x14ac:dyDescent="0.25">
      <c r="B379" s="2"/>
    </row>
    <row r="380" spans="2:2" x14ac:dyDescent="0.25">
      <c r="B380" s="2"/>
    </row>
    <row r="381" spans="2:2" x14ac:dyDescent="0.25">
      <c r="B381" s="2"/>
    </row>
    <row r="382" spans="2:2" x14ac:dyDescent="0.25">
      <c r="B382" s="2"/>
    </row>
    <row r="383" spans="2:2" x14ac:dyDescent="0.25">
      <c r="B383" s="2"/>
    </row>
    <row r="384" spans="2:2" x14ac:dyDescent="0.25">
      <c r="B384" s="2"/>
    </row>
    <row r="385" spans="2:2" x14ac:dyDescent="0.25">
      <c r="B385" s="2"/>
    </row>
    <row r="386" spans="2:2" x14ac:dyDescent="0.25">
      <c r="B386" s="2"/>
    </row>
    <row r="387" spans="2:2" x14ac:dyDescent="0.25">
      <c r="B387" s="2"/>
    </row>
    <row r="388" spans="2:2" x14ac:dyDescent="0.25">
      <c r="B388" s="2"/>
    </row>
    <row r="389" spans="2:2" x14ac:dyDescent="0.25">
      <c r="B389" s="2"/>
    </row>
    <row r="390" spans="2:2" x14ac:dyDescent="0.25">
      <c r="B390" s="2"/>
    </row>
    <row r="391" spans="2:2" x14ac:dyDescent="0.25">
      <c r="B391" s="2"/>
    </row>
    <row r="392" spans="2:2" x14ac:dyDescent="0.25">
      <c r="B392" s="2"/>
    </row>
    <row r="393" spans="2:2" x14ac:dyDescent="0.25">
      <c r="B393" s="2"/>
    </row>
    <row r="394" spans="2:2" x14ac:dyDescent="0.25">
      <c r="B394" s="2"/>
    </row>
    <row r="395" spans="2:2" x14ac:dyDescent="0.25">
      <c r="B395" s="2"/>
    </row>
    <row r="396" spans="2:2" x14ac:dyDescent="0.25">
      <c r="B396" s="2"/>
    </row>
    <row r="397" spans="2:2" x14ac:dyDescent="0.25">
      <c r="B397" s="2"/>
    </row>
    <row r="398" spans="2:2" x14ac:dyDescent="0.25">
      <c r="B398" s="2"/>
    </row>
    <row r="399" spans="2:2" x14ac:dyDescent="0.25">
      <c r="B399" s="2"/>
    </row>
    <row r="400" spans="2:2" x14ac:dyDescent="0.25">
      <c r="B400" s="2"/>
    </row>
    <row r="401" spans="2:2" x14ac:dyDescent="0.25">
      <c r="B401" s="2"/>
    </row>
    <row r="402" spans="2:2" x14ac:dyDescent="0.25">
      <c r="B402" s="2"/>
    </row>
    <row r="403" spans="2:2" x14ac:dyDescent="0.25">
      <c r="B403" s="2"/>
    </row>
    <row r="404" spans="2:2" x14ac:dyDescent="0.25">
      <c r="B404" s="2"/>
    </row>
    <row r="405" spans="2:2" x14ac:dyDescent="0.25">
      <c r="B405" s="2"/>
    </row>
    <row r="406" spans="2:2" x14ac:dyDescent="0.25">
      <c r="B406" s="2"/>
    </row>
    <row r="407" spans="2:2" x14ac:dyDescent="0.25">
      <c r="B407" s="2"/>
    </row>
    <row r="408" spans="2:2" x14ac:dyDescent="0.25">
      <c r="B408" s="2"/>
    </row>
    <row r="409" spans="2:2" x14ac:dyDescent="0.25">
      <c r="B409" s="2"/>
    </row>
    <row r="410" spans="2:2" x14ac:dyDescent="0.25">
      <c r="B410" s="2"/>
    </row>
    <row r="411" spans="2:2" x14ac:dyDescent="0.25">
      <c r="B411" s="2"/>
    </row>
    <row r="412" spans="2:2" x14ac:dyDescent="0.25">
      <c r="B412" s="2"/>
    </row>
    <row r="413" spans="2:2" x14ac:dyDescent="0.25">
      <c r="B413" s="2"/>
    </row>
    <row r="414" spans="2:2" x14ac:dyDescent="0.25">
      <c r="B414" s="2"/>
    </row>
    <row r="415" spans="2:2" x14ac:dyDescent="0.25">
      <c r="B415" s="2"/>
    </row>
    <row r="416" spans="2:2" x14ac:dyDescent="0.25">
      <c r="B416" s="2"/>
    </row>
    <row r="417" spans="2:2" x14ac:dyDescent="0.25">
      <c r="B417" s="2"/>
    </row>
    <row r="418" spans="2:2" x14ac:dyDescent="0.25">
      <c r="B418" s="2"/>
    </row>
    <row r="419" spans="2:2" x14ac:dyDescent="0.25">
      <c r="B419" s="2"/>
    </row>
    <row r="420" spans="2:2" x14ac:dyDescent="0.25">
      <c r="B420" s="2"/>
    </row>
    <row r="421" spans="2:2" x14ac:dyDescent="0.25">
      <c r="B421" s="2"/>
    </row>
    <row r="422" spans="2:2" x14ac:dyDescent="0.25">
      <c r="B422" s="2"/>
    </row>
    <row r="423" spans="2:2" x14ac:dyDescent="0.25">
      <c r="B423" s="2"/>
    </row>
    <row r="424" spans="2:2" x14ac:dyDescent="0.25">
      <c r="B424" s="2"/>
    </row>
    <row r="425" spans="2:2" x14ac:dyDescent="0.25">
      <c r="B425" s="2"/>
    </row>
    <row r="426" spans="2:2" x14ac:dyDescent="0.25">
      <c r="B426" s="2"/>
    </row>
    <row r="427" spans="2:2" x14ac:dyDescent="0.25">
      <c r="B427" s="2"/>
    </row>
    <row r="428" spans="2:2" x14ac:dyDescent="0.25">
      <c r="B428" s="2"/>
    </row>
    <row r="429" spans="2:2" x14ac:dyDescent="0.25">
      <c r="B429" s="2"/>
    </row>
    <row r="430" spans="2:2" x14ac:dyDescent="0.25">
      <c r="B430" s="2"/>
    </row>
    <row r="431" spans="2:2" x14ac:dyDescent="0.25">
      <c r="B431" s="2"/>
    </row>
    <row r="432" spans="2:2" x14ac:dyDescent="0.25">
      <c r="B432" s="2"/>
    </row>
    <row r="433" spans="2:2" x14ac:dyDescent="0.25">
      <c r="B433" s="2"/>
    </row>
    <row r="434" spans="2:2" x14ac:dyDescent="0.25">
      <c r="B434" s="2"/>
    </row>
    <row r="435" spans="2:2" x14ac:dyDescent="0.25">
      <c r="B435" s="2"/>
    </row>
    <row r="436" spans="2:2" x14ac:dyDescent="0.25">
      <c r="B436" s="2"/>
    </row>
    <row r="437" spans="2:2" x14ac:dyDescent="0.25">
      <c r="B437" s="2"/>
    </row>
    <row r="438" spans="2:2" x14ac:dyDescent="0.25">
      <c r="B438" s="2"/>
    </row>
    <row r="439" spans="2:2" x14ac:dyDescent="0.25">
      <c r="B439" s="2"/>
    </row>
    <row r="440" spans="2:2" x14ac:dyDescent="0.25">
      <c r="B440" s="2"/>
    </row>
    <row r="441" spans="2:2" x14ac:dyDescent="0.25">
      <c r="B441" s="2"/>
    </row>
    <row r="442" spans="2:2" x14ac:dyDescent="0.25">
      <c r="B442" s="2"/>
    </row>
    <row r="443" spans="2:2" x14ac:dyDescent="0.25">
      <c r="B443" s="2"/>
    </row>
    <row r="444" spans="2:2" x14ac:dyDescent="0.25">
      <c r="B444" s="2"/>
    </row>
    <row r="445" spans="2:2" x14ac:dyDescent="0.25">
      <c r="B445" s="2"/>
    </row>
    <row r="446" spans="2:2" x14ac:dyDescent="0.25">
      <c r="B446" s="2"/>
    </row>
    <row r="447" spans="2:2" x14ac:dyDescent="0.25">
      <c r="B447" s="2"/>
    </row>
    <row r="448" spans="2:2" x14ac:dyDescent="0.25">
      <c r="B448" s="2"/>
    </row>
    <row r="449" spans="2:2" x14ac:dyDescent="0.25">
      <c r="B449" s="2"/>
    </row>
    <row r="450" spans="2:2" x14ac:dyDescent="0.25">
      <c r="B450" s="2"/>
    </row>
    <row r="451" spans="2:2" x14ac:dyDescent="0.25">
      <c r="B451" s="2"/>
    </row>
    <row r="452" spans="2:2" x14ac:dyDescent="0.25">
      <c r="B452" s="2"/>
    </row>
    <row r="453" spans="2:2" x14ac:dyDescent="0.25">
      <c r="B453" s="2"/>
    </row>
    <row r="454" spans="2:2" x14ac:dyDescent="0.25">
      <c r="B454" s="2"/>
    </row>
    <row r="455" spans="2:2" x14ac:dyDescent="0.25">
      <c r="B455" s="2"/>
    </row>
    <row r="456" spans="2:2" x14ac:dyDescent="0.25">
      <c r="B456" s="2"/>
    </row>
    <row r="457" spans="2:2" x14ac:dyDescent="0.25">
      <c r="B457" s="2"/>
    </row>
    <row r="458" spans="2:2" x14ac:dyDescent="0.25">
      <c r="B458" s="2"/>
    </row>
    <row r="459" spans="2:2" x14ac:dyDescent="0.25">
      <c r="B459" s="2"/>
    </row>
    <row r="460" spans="2:2" x14ac:dyDescent="0.25">
      <c r="B460" s="2"/>
    </row>
    <row r="461" spans="2:2" x14ac:dyDescent="0.25">
      <c r="B461" s="2"/>
    </row>
    <row r="462" spans="2:2" x14ac:dyDescent="0.25">
      <c r="B462" s="2"/>
    </row>
    <row r="463" spans="2:2" x14ac:dyDescent="0.25">
      <c r="B463" s="2"/>
    </row>
    <row r="464" spans="2:2" x14ac:dyDescent="0.25">
      <c r="B464" s="2"/>
    </row>
    <row r="465" spans="2:2" x14ac:dyDescent="0.25">
      <c r="B465" s="2"/>
    </row>
    <row r="466" spans="2:2" x14ac:dyDescent="0.25">
      <c r="B466" s="2"/>
    </row>
    <row r="467" spans="2:2" x14ac:dyDescent="0.25">
      <c r="B467" s="2"/>
    </row>
    <row r="468" spans="2:2" x14ac:dyDescent="0.25">
      <c r="B468" s="2"/>
    </row>
    <row r="469" spans="2:2" x14ac:dyDescent="0.25">
      <c r="B469" s="2"/>
    </row>
    <row r="470" spans="2:2" x14ac:dyDescent="0.25">
      <c r="B470" s="2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2"/>
    </row>
    <row r="477" spans="2:2" x14ac:dyDescent="0.25">
      <c r="B477" s="2"/>
    </row>
    <row r="478" spans="2:2" x14ac:dyDescent="0.25">
      <c r="B478" s="2"/>
    </row>
    <row r="479" spans="2:2" x14ac:dyDescent="0.25">
      <c r="B479" s="2"/>
    </row>
    <row r="480" spans="2:2" x14ac:dyDescent="0.25">
      <c r="B480" s="2"/>
    </row>
    <row r="481" spans="2:2" x14ac:dyDescent="0.25">
      <c r="B481" s="2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2"/>
    </row>
    <row r="502" spans="2:2" x14ac:dyDescent="0.25">
      <c r="B502" s="2"/>
    </row>
    <row r="503" spans="2:2" x14ac:dyDescent="0.25">
      <c r="B503" s="2"/>
    </row>
    <row r="504" spans="2:2" x14ac:dyDescent="0.25">
      <c r="B504" s="2"/>
    </row>
    <row r="505" spans="2:2" x14ac:dyDescent="0.25">
      <c r="B505" s="2"/>
    </row>
    <row r="506" spans="2:2" x14ac:dyDescent="0.25">
      <c r="B506" s="2"/>
    </row>
    <row r="507" spans="2:2" x14ac:dyDescent="0.25">
      <c r="B507" s="2"/>
    </row>
    <row r="508" spans="2:2" x14ac:dyDescent="0.25">
      <c r="B508" s="2"/>
    </row>
    <row r="509" spans="2:2" x14ac:dyDescent="0.25">
      <c r="B509" s="2"/>
    </row>
    <row r="510" spans="2:2" x14ac:dyDescent="0.25">
      <c r="B510" s="2"/>
    </row>
    <row r="511" spans="2:2" x14ac:dyDescent="0.25">
      <c r="B511" s="2"/>
    </row>
    <row r="512" spans="2:2" x14ac:dyDescent="0.25">
      <c r="B512" s="2"/>
    </row>
    <row r="513" spans="2:2" x14ac:dyDescent="0.25">
      <c r="B513" s="2"/>
    </row>
    <row r="514" spans="2:2" x14ac:dyDescent="0.25">
      <c r="B514" s="2"/>
    </row>
    <row r="515" spans="2:2" x14ac:dyDescent="0.25">
      <c r="B515" s="2"/>
    </row>
    <row r="516" spans="2:2" x14ac:dyDescent="0.25">
      <c r="B516" s="2"/>
    </row>
    <row r="517" spans="2:2" x14ac:dyDescent="0.25">
      <c r="B517" s="2"/>
    </row>
    <row r="518" spans="2:2" x14ac:dyDescent="0.25">
      <c r="B518" s="2"/>
    </row>
    <row r="519" spans="2:2" x14ac:dyDescent="0.25">
      <c r="B519" s="2"/>
    </row>
    <row r="520" spans="2:2" x14ac:dyDescent="0.25">
      <c r="B520" s="2"/>
    </row>
    <row r="521" spans="2:2" x14ac:dyDescent="0.25">
      <c r="B521" s="2"/>
    </row>
    <row r="522" spans="2:2" x14ac:dyDescent="0.25">
      <c r="B522" s="2"/>
    </row>
    <row r="523" spans="2:2" x14ac:dyDescent="0.25">
      <c r="B523" s="2"/>
    </row>
    <row r="524" spans="2:2" x14ac:dyDescent="0.25">
      <c r="B52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settings</vt:lpstr>
      <vt:lpstr>chains</vt:lpstr>
      <vt:lpstr>bid</vt:lpstr>
      <vt:lpstr>ask</vt:lpstr>
      <vt:lpstr>rawInterpolTest</vt:lpstr>
      <vt:lpstr>mid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Oliver Wettergren</cp:lastModifiedBy>
  <dcterms:created xsi:type="dcterms:W3CDTF">2020-05-11T07:17:35Z</dcterms:created>
  <dcterms:modified xsi:type="dcterms:W3CDTF">2020-06-10T14:30:54Z</dcterms:modified>
</cp:coreProperties>
</file>