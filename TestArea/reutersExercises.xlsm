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6" codeName="{3D1A710C-6663-3D7B-7F91-EC182F24A4BC}"/>
  <workbookPr codeName="ThisWorkbook" checkCompatibility="1" defaultThemeVersion="124226"/>
  <mc:AlternateContent xmlns:mc="http://schemas.openxmlformats.org/markup-compatibility/2006">
    <mc:Choice Requires="x15">
      <x15ac:absPath xmlns:x15ac="http://schemas.microsoft.com/office/spreadsheetml/2010/11/ac" url="\\ad.liu.se\home\frebo147\Documents\MSc Git\MScCurveModeling\TestArea\"/>
    </mc:Choice>
  </mc:AlternateContent>
  <xr:revisionPtr revIDLastSave="0" documentId="13_ncr:1_{8E623F7E-181E-49B8-BE5E-F17A85BBA476}" xr6:coauthVersionLast="36" xr6:coauthVersionMax="36" xr10:uidLastSave="{00000000-0000-0000-0000-000000000000}"/>
  <bookViews>
    <workbookView xWindow="3270" yWindow="6840" windowWidth="22995" windowHeight="14370" xr2:uid="{00000000-000D-0000-FFFF-FFFF00000000}"/>
  </bookViews>
  <sheets>
    <sheet name="main" sheetId="2" r:id="rId1"/>
    <sheet name="realTime" sheetId="1" r:id="rId2"/>
    <sheet name="data" sheetId="3" r:id="rId3"/>
    <sheet name="tables" sheetId="4" r:id="rId4"/>
    <sheet name="bill" sheetId="6" r:id="rId5"/>
    <sheet name="bond" sheetId="7" r:id="rId6"/>
    <sheet name="IRS" sheetId="8" r:id="rId7"/>
    <sheet name="bootstrap" sheetId="9" r:id="rId8"/>
    <sheet name="Rates" sheetId="10" r:id="rId9"/>
  </sheets>
  <functionGroups builtInGroupCount="19"/>
  <definedNames>
    <definedName name="billChain">IF(main!$A$2,OFFSET(data!$K$38,0,0,data!$L$34,1),"")</definedName>
    <definedName name="bondChain">IF(main!$A$2,OFFSET(data!$N$38,0,0,data!$O$34,1),"")</definedName>
    <definedName name="countryList">IF(main!$A$2,OFFSET(tables!$A$2,0,0,COUNTA(tables!$A$2:$A$640),1),"")</definedName>
    <definedName name="discountDate">data!$D$3:$D$129</definedName>
    <definedName name="discountFactor">data!$F$3:$F$129</definedName>
    <definedName name="discountNextDate">data!$E$3:$E$129</definedName>
    <definedName name="nextCouponDate">bond!$B$15</definedName>
    <definedName name="previousCouponDate">bond!$B$14</definedName>
  </definedNames>
  <calcPr calcId="191029"/>
</workbook>
</file>

<file path=xl/calcChain.xml><?xml version="1.0" encoding="utf-8"?>
<calcChain xmlns="http://schemas.openxmlformats.org/spreadsheetml/2006/main">
  <c r="B21" i="8" l="1"/>
  <c r="B22" i="8"/>
  <c r="J3" i="9"/>
  <c r="I3" i="9"/>
  <c r="H3" i="9"/>
  <c r="AA2" i="3"/>
  <c r="AA3" i="3"/>
  <c r="AA4" i="3"/>
  <c r="AA5" i="3"/>
  <c r="AA6" i="3"/>
  <c r="AA7" i="3"/>
  <c r="AA8" i="3"/>
  <c r="AA9" i="3"/>
  <c r="AA10" i="3"/>
  <c r="AA11" i="3"/>
  <c r="AA12" i="3"/>
  <c r="AA13" i="3"/>
  <c r="AA14" i="3"/>
  <c r="AA15" i="3"/>
  <c r="AA16" i="3"/>
  <c r="AA17"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AA65" i="3"/>
  <c r="AA66" i="3"/>
  <c r="AA67" i="3"/>
  <c r="AA68" i="3"/>
  <c r="AA69" i="3"/>
  <c r="AA70" i="3"/>
  <c r="AA71" i="3"/>
  <c r="AA72" i="3"/>
  <c r="AA73" i="3"/>
  <c r="AA74" i="3"/>
  <c r="AA75" i="3"/>
  <c r="AA76" i="3"/>
  <c r="AA77" i="3"/>
  <c r="AA78" i="3"/>
  <c r="AA79" i="3"/>
  <c r="AA80" i="3"/>
  <c r="AA81" i="3"/>
  <c r="AA82" i="3"/>
  <c r="AA83" i="3"/>
  <c r="AA84" i="3"/>
  <c r="AA85" i="3"/>
  <c r="AA86" i="3"/>
  <c r="AA87" i="3"/>
  <c r="AA88" i="3"/>
  <c r="AA89" i="3"/>
  <c r="AA90" i="3"/>
  <c r="AA91" i="3"/>
  <c r="AA92" i="3"/>
  <c r="AA93" i="3"/>
  <c r="AA94" i="3"/>
  <c r="AA95" i="3"/>
  <c r="AA96" i="3"/>
  <c r="AA97" i="3"/>
  <c r="AA98" i="3"/>
  <c r="AA99" i="3"/>
  <c r="AA100" i="3"/>
  <c r="AA101" i="3"/>
  <c r="AA102" i="3"/>
  <c r="AA103" i="3"/>
  <c r="AA104" i="3"/>
  <c r="AA105" i="3"/>
  <c r="AA106" i="3"/>
  <c r="AA107" i="3"/>
  <c r="AA108" i="3"/>
  <c r="AA109" i="3"/>
  <c r="AA110" i="3"/>
  <c r="AA111" i="3"/>
  <c r="AA112" i="3"/>
  <c r="AA113" i="3"/>
  <c r="AA114" i="3"/>
  <c r="AA115" i="3"/>
  <c r="AA116" i="3"/>
  <c r="AA117" i="3"/>
  <c r="AA118" i="3"/>
  <c r="AA119" i="3"/>
  <c r="AA120" i="3"/>
  <c r="AA121" i="3"/>
  <c r="AA122" i="3"/>
  <c r="AA123" i="3"/>
  <c r="AA124" i="3"/>
  <c r="AA125" i="3"/>
  <c r="AA126" i="3"/>
  <c r="AA127" i="3"/>
  <c r="AA128" i="3"/>
  <c r="AA129" i="3"/>
  <c r="AA130" i="3"/>
  <c r="AA131" i="3"/>
  <c r="AA132" i="3"/>
  <c r="AA133" i="3"/>
  <c r="AA134" i="3"/>
  <c r="AA135" i="3"/>
  <c r="AA136" i="3"/>
  <c r="AA137" i="3"/>
  <c r="AA138" i="3"/>
  <c r="AA139" i="3"/>
  <c r="AA140" i="3"/>
  <c r="AA141" i="3"/>
  <c r="AA142" i="3"/>
  <c r="AA143" i="3"/>
  <c r="AA144" i="3"/>
  <c r="AA145" i="3"/>
  <c r="AA146" i="3"/>
  <c r="AA147" i="3"/>
  <c r="AA148" i="3"/>
  <c r="AA149" i="3"/>
  <c r="AA150" i="3"/>
  <c r="AA151" i="3"/>
  <c r="AA152" i="3"/>
  <c r="AA153" i="3"/>
  <c r="AA154" i="3"/>
  <c r="AA155" i="3"/>
  <c r="AA156" i="3"/>
  <c r="AA157" i="3"/>
  <c r="AA158" i="3"/>
  <c r="AA159" i="3"/>
  <c r="AA160" i="3"/>
  <c r="AA161" i="3"/>
  <c r="AA162" i="3"/>
  <c r="AA163" i="3"/>
  <c r="AA164" i="3"/>
  <c r="AA165" i="3"/>
  <c r="AA166" i="3"/>
  <c r="AA167" i="3"/>
  <c r="AA168" i="3"/>
  <c r="AA169" i="3"/>
  <c r="AA170" i="3"/>
  <c r="AA171" i="3"/>
  <c r="AA172" i="3"/>
  <c r="AA173" i="3"/>
  <c r="AA174" i="3"/>
  <c r="AA175" i="3"/>
  <c r="AA176" i="3"/>
  <c r="AA177" i="3"/>
  <c r="AA178" i="3"/>
  <c r="AA179" i="3"/>
  <c r="AA180" i="3"/>
  <c r="AA181" i="3"/>
  <c r="AA182" i="3"/>
  <c r="AA183" i="3"/>
  <c r="AA184" i="3"/>
  <c r="AA185" i="3"/>
  <c r="AA186" i="3"/>
  <c r="AA187" i="3"/>
  <c r="AA188" i="3"/>
  <c r="AA189" i="3"/>
  <c r="AA190" i="3"/>
  <c r="AA191" i="3"/>
  <c r="AA192" i="3"/>
  <c r="AA193" i="3"/>
  <c r="AA194" i="3"/>
  <c r="AA195" i="3"/>
  <c r="AA196" i="3"/>
  <c r="AA197" i="3"/>
  <c r="AA198" i="3"/>
  <c r="AA199" i="3"/>
  <c r="AA200" i="3"/>
  <c r="AA201" i="3"/>
  <c r="AA202" i="3"/>
  <c r="AA203" i="3"/>
  <c r="AA204" i="3"/>
  <c r="AA205" i="3"/>
  <c r="AA206" i="3"/>
  <c r="AA207" i="3"/>
  <c r="AA208" i="3"/>
  <c r="AA209" i="3"/>
  <c r="AA210" i="3"/>
  <c r="AA211" i="3"/>
  <c r="AA212" i="3"/>
  <c r="AA213" i="3"/>
  <c r="AA214" i="3"/>
  <c r="AA215" i="3"/>
  <c r="AA216" i="3"/>
  <c r="AA217" i="3"/>
  <c r="AA218" i="3"/>
  <c r="AA219" i="3"/>
  <c r="AA220" i="3"/>
  <c r="AA221" i="3"/>
  <c r="AA222" i="3"/>
  <c r="AA223" i="3"/>
  <c r="AA224" i="3"/>
  <c r="AA225" i="3"/>
  <c r="AA226" i="3"/>
  <c r="AA227" i="3"/>
  <c r="AA228" i="3"/>
  <c r="AA229" i="3"/>
  <c r="AA230" i="3"/>
  <c r="AA231" i="3"/>
  <c r="AA232" i="3"/>
  <c r="AA233" i="3"/>
  <c r="AA234" i="3"/>
  <c r="AA235" i="3"/>
  <c r="AA236" i="3"/>
  <c r="AA237" i="3"/>
  <c r="AA238" i="3"/>
  <c r="AA239" i="3"/>
  <c r="AA240" i="3"/>
  <c r="AA241" i="3"/>
  <c r="AA242" i="3"/>
  <c r="AA243" i="3"/>
  <c r="AA244" i="3"/>
  <c r="AA245" i="3"/>
  <c r="AA246" i="3"/>
  <c r="AA247" i="3"/>
  <c r="AA248" i="3"/>
  <c r="AA249" i="3"/>
  <c r="AA250" i="3"/>
  <c r="AA251" i="3"/>
  <c r="AA252" i="3"/>
  <c r="AA253" i="3"/>
  <c r="AA254" i="3"/>
  <c r="AA255" i="3"/>
  <c r="AA256" i="3"/>
  <c r="AA257" i="3"/>
  <c r="AA258" i="3"/>
  <c r="AA259" i="3"/>
  <c r="AA260" i="3"/>
  <c r="AA261" i="3"/>
  <c r="AA262" i="3"/>
  <c r="AA263" i="3"/>
  <c r="AA264" i="3"/>
  <c r="AA265" i="3"/>
  <c r="AA266" i="3"/>
  <c r="AA267" i="3"/>
  <c r="AA268" i="3"/>
  <c r="AA269" i="3"/>
  <c r="AA270" i="3"/>
  <c r="AA271" i="3"/>
  <c r="AA272" i="3"/>
  <c r="AA273" i="3"/>
  <c r="AA274" i="3"/>
  <c r="AA275" i="3"/>
  <c r="AA276" i="3"/>
  <c r="AA277" i="3"/>
  <c r="AA278" i="3"/>
  <c r="AA279" i="3"/>
  <c r="AA280" i="3"/>
  <c r="AA281" i="3"/>
  <c r="AA282" i="3"/>
  <c r="AA283" i="3"/>
  <c r="AA284" i="3"/>
  <c r="AA285" i="3"/>
  <c r="AA286" i="3"/>
  <c r="AA287" i="3"/>
  <c r="AA288" i="3"/>
  <c r="AA289" i="3"/>
  <c r="AA290" i="3"/>
  <c r="AA291" i="3"/>
  <c r="AA292" i="3"/>
  <c r="AA293" i="3"/>
  <c r="AA294" i="3"/>
  <c r="AA295" i="3"/>
  <c r="AA296" i="3"/>
  <c r="AA297" i="3"/>
  <c r="AA298" i="3"/>
  <c r="AA299" i="3"/>
  <c r="AA300" i="3"/>
  <c r="AA301" i="3"/>
  <c r="AA302" i="3"/>
  <c r="AA303" i="3"/>
  <c r="AA304" i="3"/>
  <c r="AA305" i="3"/>
  <c r="AA306" i="3"/>
  <c r="AA307" i="3"/>
  <c r="AA308" i="3"/>
  <c r="AA309" i="3"/>
  <c r="AA310" i="3"/>
  <c r="AA311" i="3"/>
  <c r="AA312" i="3"/>
  <c r="AA313" i="3"/>
  <c r="AA314" i="3"/>
  <c r="AA315" i="3"/>
  <c r="AA316" i="3"/>
  <c r="AA317" i="3"/>
  <c r="AA318" i="3"/>
  <c r="AA319" i="3"/>
  <c r="AA320" i="3"/>
  <c r="AA321" i="3"/>
  <c r="AA322" i="3"/>
  <c r="AA323" i="3"/>
  <c r="AA324" i="3"/>
  <c r="AA325" i="3"/>
  <c r="AA326" i="3"/>
  <c r="AA327" i="3"/>
  <c r="AA328" i="3"/>
  <c r="AA329" i="3"/>
  <c r="AA330" i="3"/>
  <c r="AA331" i="3"/>
  <c r="AA332" i="3"/>
  <c r="AA333" i="3"/>
  <c r="AA334" i="3"/>
  <c r="AA335" i="3"/>
  <c r="AA336" i="3"/>
  <c r="AA337" i="3"/>
  <c r="AA338" i="3"/>
  <c r="AA339" i="3"/>
  <c r="AA340" i="3"/>
  <c r="AA341" i="3"/>
  <c r="AA342" i="3"/>
  <c r="AA343" i="3"/>
  <c r="AA344" i="3"/>
  <c r="AA345" i="3"/>
  <c r="AA346" i="3"/>
  <c r="AA347" i="3"/>
  <c r="AA348" i="3"/>
  <c r="AA349" i="3"/>
  <c r="AA350" i="3"/>
  <c r="AA351" i="3"/>
  <c r="AA352" i="3"/>
  <c r="AA353" i="3"/>
  <c r="AA354" i="3"/>
  <c r="AA355" i="3"/>
  <c r="AA356" i="3"/>
  <c r="AA357" i="3"/>
  <c r="AA358" i="3"/>
  <c r="AA359" i="3"/>
  <c r="AA360" i="3"/>
  <c r="AA361" i="3"/>
  <c r="AA362" i="3"/>
  <c r="AA363" i="3"/>
  <c r="AA364" i="3"/>
  <c r="AA365" i="3"/>
  <c r="AA366" i="3"/>
  <c r="AA367" i="3"/>
  <c r="AA368" i="3"/>
  <c r="AA369" i="3"/>
  <c r="AA370" i="3"/>
  <c r="AA371" i="3"/>
  <c r="AA372" i="3"/>
  <c r="AA373" i="3"/>
  <c r="AA374" i="3"/>
  <c r="AA375" i="3"/>
  <c r="AA376" i="3"/>
  <c r="AA377" i="3"/>
  <c r="AA378" i="3"/>
  <c r="AA379" i="3"/>
  <c r="AA380" i="3"/>
  <c r="AA381" i="3"/>
  <c r="AA382" i="3"/>
  <c r="AA383" i="3"/>
  <c r="AA384" i="3"/>
  <c r="AA385" i="3"/>
  <c r="AA386" i="3"/>
  <c r="AA387" i="3"/>
  <c r="AA388" i="3"/>
  <c r="AA389" i="3"/>
  <c r="AA390" i="3"/>
  <c r="AA391" i="3"/>
  <c r="AA392" i="3"/>
  <c r="AA393" i="3"/>
  <c r="AA394" i="3"/>
  <c r="AA395" i="3"/>
  <c r="AA396" i="3"/>
  <c r="AA397" i="3"/>
  <c r="AA398" i="3"/>
  <c r="AA399" i="3"/>
  <c r="AA400" i="3"/>
  <c r="AA401" i="3"/>
  <c r="AA402" i="3"/>
  <c r="AA403" i="3"/>
  <c r="AA404" i="3"/>
  <c r="AA405" i="3"/>
  <c r="AA406" i="3"/>
  <c r="AA407" i="3"/>
  <c r="AA408" i="3"/>
  <c r="AA409" i="3"/>
  <c r="AA410" i="3"/>
  <c r="AA411" i="3"/>
  <c r="AA412" i="3"/>
  <c r="AA413" i="3"/>
  <c r="AA414" i="3"/>
  <c r="AA415" i="3"/>
  <c r="AA416" i="3"/>
  <c r="AA417" i="3"/>
  <c r="AA418" i="3"/>
  <c r="AA419" i="3"/>
  <c r="AA420" i="3"/>
  <c r="AA421" i="3"/>
  <c r="AA422" i="3"/>
  <c r="AA423" i="3"/>
  <c r="AA424" i="3"/>
  <c r="AA425" i="3"/>
  <c r="AA426" i="3"/>
  <c r="AA427" i="3"/>
  <c r="AA428" i="3"/>
  <c r="AA429" i="3"/>
  <c r="AA430" i="3"/>
  <c r="AA431" i="3"/>
  <c r="AA432" i="3"/>
  <c r="AA433" i="3"/>
  <c r="AA434" i="3"/>
  <c r="AA435" i="3"/>
  <c r="AA436" i="3"/>
  <c r="AA437" i="3"/>
  <c r="AA438" i="3"/>
  <c r="AA439" i="3"/>
  <c r="AA440" i="3"/>
  <c r="AA441" i="3"/>
  <c r="AA442" i="3"/>
  <c r="AA443" i="3"/>
  <c r="AA444" i="3"/>
  <c r="AA445" i="3"/>
  <c r="AA446" i="3"/>
  <c r="AA447" i="3"/>
  <c r="AA448" i="3"/>
  <c r="AA449" i="3"/>
  <c r="AA450" i="3"/>
  <c r="AA451" i="3"/>
  <c r="AA452" i="3"/>
  <c r="AA453" i="3"/>
  <c r="AA454" i="3"/>
  <c r="AA455" i="3"/>
  <c r="AA456" i="3"/>
  <c r="AA457" i="3"/>
  <c r="AA458" i="3"/>
  <c r="AA459" i="3"/>
  <c r="AA460" i="3"/>
  <c r="AA461" i="3"/>
  <c r="AA462" i="3"/>
  <c r="AA463" i="3"/>
  <c r="AA464" i="3"/>
  <c r="AA465" i="3"/>
  <c r="AA466" i="3"/>
  <c r="AA467" i="3"/>
  <c r="AA468" i="3"/>
  <c r="AA469" i="3"/>
  <c r="AA470" i="3"/>
  <c r="AA471" i="3"/>
  <c r="AA472" i="3"/>
  <c r="AA473" i="3"/>
  <c r="AA474" i="3"/>
  <c r="AA475" i="3"/>
  <c r="AA476" i="3"/>
  <c r="AA477" i="3"/>
  <c r="AA478" i="3"/>
  <c r="AA479" i="3"/>
  <c r="AA480" i="3"/>
  <c r="AA481" i="3"/>
  <c r="AA482" i="3"/>
  <c r="AA483" i="3"/>
  <c r="AA484" i="3"/>
  <c r="AA485" i="3"/>
  <c r="AA486" i="3"/>
  <c r="AA487" i="3"/>
  <c r="AA488" i="3"/>
  <c r="AA489" i="3"/>
  <c r="AA490" i="3"/>
  <c r="AA491" i="3"/>
  <c r="AA492" i="3"/>
  <c r="AA493" i="3"/>
  <c r="AA494" i="3"/>
  <c r="AA495" i="3"/>
  <c r="AA496" i="3"/>
  <c r="AA497" i="3"/>
  <c r="AA498" i="3"/>
  <c r="AA499" i="3"/>
  <c r="AA500" i="3"/>
  <c r="A501" i="3"/>
  <c r="B501" i="3"/>
  <c r="C501" i="3"/>
  <c r="D501" i="3"/>
  <c r="E501" i="3"/>
  <c r="F501" i="3"/>
  <c r="G501" i="3"/>
  <c r="H501" i="3"/>
  <c r="I501" i="3"/>
  <c r="J501" i="3"/>
  <c r="K501" i="3"/>
  <c r="L501" i="3"/>
  <c r="M501" i="3"/>
  <c r="N501" i="3"/>
  <c r="O501" i="3"/>
  <c r="P501" i="3"/>
  <c r="Q501" i="3"/>
  <c r="R501" i="3"/>
  <c r="S501" i="3"/>
  <c r="T501" i="3"/>
  <c r="U501" i="3"/>
  <c r="V501" i="3"/>
  <c r="W501" i="3"/>
  <c r="X501" i="3"/>
  <c r="Y501" i="3"/>
  <c r="Z501" i="3"/>
  <c r="AA501" i="3"/>
  <c r="A502" i="3"/>
  <c r="B502" i="3"/>
  <c r="C502" i="3"/>
  <c r="D502" i="3"/>
  <c r="E502" i="3"/>
  <c r="F502" i="3"/>
  <c r="G502" i="3"/>
  <c r="H502" i="3"/>
  <c r="I502" i="3"/>
  <c r="J502" i="3"/>
  <c r="K502" i="3"/>
  <c r="L502" i="3"/>
  <c r="M502" i="3"/>
  <c r="N502" i="3"/>
  <c r="O502" i="3"/>
  <c r="P502" i="3"/>
  <c r="Q502" i="3"/>
  <c r="R502" i="3"/>
  <c r="S502" i="3"/>
  <c r="T502" i="3"/>
  <c r="U502" i="3"/>
  <c r="V502" i="3"/>
  <c r="W502" i="3"/>
  <c r="X502" i="3"/>
  <c r="Y502" i="3"/>
  <c r="Z502" i="3"/>
  <c r="AA502" i="3"/>
  <c r="I4" i="9" l="1" a="1"/>
  <c r="H4" i="9"/>
  <c r="H6" i="9" s="1"/>
  <c r="I2" i="10"/>
  <c r="K2" i="10"/>
  <c r="J2" i="10"/>
  <c r="C3" i="9" l="1"/>
  <c r="I4" i="9"/>
  <c r="D3" i="9"/>
  <c r="E3" i="9"/>
  <c r="B17" i="6"/>
  <c r="I6" i="9" l="1"/>
  <c r="H8" i="9" s="1"/>
  <c r="J4" i="9" a="1"/>
  <c r="J4" i="9" s="1"/>
  <c r="J6" i="9" s="1"/>
  <c r="I8" i="9" s="1"/>
  <c r="E4" i="10"/>
  <c r="A2" i="10"/>
  <c r="I19" i="4" l="1"/>
  <c r="B15" i="8" l="1"/>
  <c r="B26" i="8" l="1"/>
  <c r="B25" i="8"/>
  <c r="B24" i="8"/>
  <c r="C4" i="9"/>
  <c r="E4" i="9" l="1" a="1"/>
  <c r="D4" i="9" a="1"/>
  <c r="D4" i="9" s="1"/>
  <c r="C6" i="9"/>
  <c r="I63" i="4"/>
  <c r="I62" i="4"/>
  <c r="H62" i="4"/>
  <c r="G62" i="4"/>
  <c r="I61" i="4"/>
  <c r="H61" i="4"/>
  <c r="I60" i="4"/>
  <c r="H59" i="4"/>
  <c r="I58" i="4"/>
  <c r="I57" i="4"/>
  <c r="H57" i="4"/>
  <c r="I56" i="4"/>
  <c r="H56" i="4"/>
  <c r="I55" i="4"/>
  <c r="H55" i="4"/>
  <c r="I54" i="4"/>
  <c r="H54" i="4"/>
  <c r="G54" i="4"/>
  <c r="H53" i="4"/>
  <c r="I52" i="4"/>
  <c r="H52" i="4"/>
  <c r="G52" i="4"/>
  <c r="I51" i="4"/>
  <c r="H51" i="4"/>
  <c r="G51" i="4"/>
  <c r="I50" i="4"/>
  <c r="H50" i="4"/>
  <c r="G50" i="4"/>
  <c r="H49" i="4"/>
  <c r="G49" i="4"/>
  <c r="I48" i="4"/>
  <c r="H48" i="4"/>
  <c r="G48" i="4"/>
  <c r="I47" i="4"/>
  <c r="H47" i="4"/>
  <c r="I46" i="4"/>
  <c r="H46" i="4"/>
  <c r="I45" i="4"/>
  <c r="H45" i="4"/>
  <c r="G45" i="4"/>
  <c r="I44" i="4"/>
  <c r="H44" i="4"/>
  <c r="I43" i="4"/>
  <c r="H43" i="4"/>
  <c r="G43" i="4"/>
  <c r="H42" i="4"/>
  <c r="I41" i="4"/>
  <c r="H41" i="4"/>
  <c r="I40" i="4"/>
  <c r="H40" i="4"/>
  <c r="G40" i="4"/>
  <c r="I39" i="4"/>
  <c r="H39" i="4"/>
  <c r="I38" i="4"/>
  <c r="H38" i="4"/>
  <c r="G38" i="4"/>
  <c r="H37" i="4"/>
  <c r="I36" i="4"/>
  <c r="H36" i="4"/>
  <c r="G36" i="4"/>
  <c r="I35" i="4"/>
  <c r="H34" i="4"/>
  <c r="H33" i="4"/>
  <c r="G33" i="4"/>
  <c r="I32" i="4"/>
  <c r="H32" i="4"/>
  <c r="I31" i="4"/>
  <c r="I30" i="4"/>
  <c r="H30" i="4"/>
  <c r="I29" i="4"/>
  <c r="H29" i="4"/>
  <c r="G29" i="4"/>
  <c r="I28" i="4"/>
  <c r="H28" i="4"/>
  <c r="G28" i="4"/>
  <c r="I27" i="4"/>
  <c r="I26" i="4"/>
  <c r="H26" i="4"/>
  <c r="G26" i="4"/>
  <c r="I25" i="4"/>
  <c r="H25" i="4"/>
  <c r="G25" i="4"/>
  <c r="I24" i="4"/>
  <c r="H24" i="4"/>
  <c r="I23" i="4"/>
  <c r="H22" i="4"/>
  <c r="G22" i="4"/>
  <c r="I21" i="4"/>
  <c r="H21" i="4"/>
  <c r="G21" i="4"/>
  <c r="I20" i="4"/>
  <c r="H20" i="4"/>
  <c r="G20" i="4"/>
  <c r="H19" i="4"/>
  <c r="G19" i="4"/>
  <c r="I18" i="4"/>
  <c r="H18" i="4"/>
  <c r="G18" i="4"/>
  <c r="I17" i="4"/>
  <c r="H17" i="4"/>
  <c r="I16" i="4"/>
  <c r="H15" i="4"/>
  <c r="G15" i="4"/>
  <c r="I14" i="4"/>
  <c r="H14" i="4"/>
  <c r="I13" i="4"/>
  <c r="H13" i="4"/>
  <c r="G13" i="4"/>
  <c r="I12" i="4"/>
  <c r="H11" i="4"/>
  <c r="G11" i="4"/>
  <c r="I10" i="4"/>
  <c r="H10" i="4"/>
  <c r="H9" i="4"/>
  <c r="I8" i="4"/>
  <c r="H8" i="4"/>
  <c r="I7" i="4"/>
  <c r="H6" i="4"/>
  <c r="I5" i="4"/>
  <c r="H5" i="4"/>
  <c r="G5" i="4"/>
  <c r="H4" i="4"/>
  <c r="I3" i="4"/>
  <c r="H3" i="4"/>
  <c r="I2" i="4"/>
  <c r="H2" i="4"/>
  <c r="E4" i="9" l="1"/>
  <c r="E6" i="9" s="1"/>
  <c r="D6" i="9"/>
  <c r="C8" i="9" s="1"/>
  <c r="V10" i="1"/>
  <c r="D8" i="9" l="1"/>
  <c r="C357" i="8"/>
  <c r="C356" i="8"/>
  <c r="C355" i="8"/>
  <c r="C354" i="8"/>
  <c r="C353" i="8"/>
  <c r="C352" i="8"/>
  <c r="C351" i="8"/>
  <c r="C350" i="8"/>
  <c r="C349" i="8"/>
  <c r="C348" i="8"/>
  <c r="C347" i="8"/>
  <c r="C346" i="8"/>
  <c r="C345" i="8"/>
  <c r="C344" i="8"/>
  <c r="C343" i="8"/>
  <c r="C342" i="8"/>
  <c r="C341" i="8"/>
  <c r="C340" i="8"/>
  <c r="C339" i="8"/>
  <c r="C338" i="8"/>
  <c r="C337" i="8"/>
  <c r="C336" i="8"/>
  <c r="C335" i="8"/>
  <c r="C334" i="8"/>
  <c r="C333" i="8"/>
  <c r="C332" i="8"/>
  <c r="C331" i="8"/>
  <c r="C330" i="8"/>
  <c r="C329" i="8"/>
  <c r="C328" i="8"/>
  <c r="C327" i="8"/>
  <c r="C326" i="8"/>
  <c r="C325" i="8"/>
  <c r="C324" i="8"/>
  <c r="C323" i="8"/>
  <c r="C322" i="8"/>
  <c r="C321" i="8"/>
  <c r="C320" i="8"/>
  <c r="C319" i="8"/>
  <c r="C318" i="8"/>
  <c r="C317" i="8"/>
  <c r="C316" i="8"/>
  <c r="C315" i="8"/>
  <c r="C314" i="8"/>
  <c r="C313" i="8"/>
  <c r="C312" i="8"/>
  <c r="C311" i="8"/>
  <c r="C310" i="8"/>
  <c r="C309" i="8"/>
  <c r="C308" i="8"/>
  <c r="C307" i="8"/>
  <c r="C306" i="8"/>
  <c r="C305" i="8"/>
  <c r="C304" i="8"/>
  <c r="C303" i="8"/>
  <c r="C302" i="8"/>
  <c r="C301" i="8"/>
  <c r="C300" i="8"/>
  <c r="C299" i="8"/>
  <c r="C298" i="8"/>
  <c r="C297" i="8"/>
  <c r="C296" i="8"/>
  <c r="C295" i="8"/>
  <c r="C294" i="8"/>
  <c r="C293" i="8"/>
  <c r="C292" i="8"/>
  <c r="C291" i="8"/>
  <c r="C290" i="8"/>
  <c r="C289" i="8"/>
  <c r="C288" i="8"/>
  <c r="C287" i="8"/>
  <c r="C286" i="8"/>
  <c r="C285" i="8"/>
  <c r="C284" i="8"/>
  <c r="C283" i="8"/>
  <c r="C282" i="8"/>
  <c r="C281" i="8"/>
  <c r="C280" i="8"/>
  <c r="C279" i="8"/>
  <c r="C278" i="8"/>
  <c r="C277" i="8"/>
  <c r="C276" i="8"/>
  <c r="C275" i="8"/>
  <c r="C274" i="8"/>
  <c r="C273" i="8"/>
  <c r="C272" i="8"/>
  <c r="C271" i="8"/>
  <c r="C270" i="8"/>
  <c r="C269" i="8"/>
  <c r="C268" i="8"/>
  <c r="C267" i="8"/>
  <c r="C266" i="8"/>
  <c r="C265" i="8"/>
  <c r="C264" i="8"/>
  <c r="C263" i="8"/>
  <c r="C262" i="8"/>
  <c r="C261" i="8"/>
  <c r="C260" i="8"/>
  <c r="C259" i="8"/>
  <c r="C258" i="8"/>
  <c r="C257" i="8"/>
  <c r="C256" i="8"/>
  <c r="C255" i="8"/>
  <c r="C254" i="8"/>
  <c r="C253" i="8"/>
  <c r="C252" i="8"/>
  <c r="C251" i="8"/>
  <c r="C250" i="8"/>
  <c r="C249" i="8"/>
  <c r="C248" i="8"/>
  <c r="C247" i="8"/>
  <c r="C246" i="8"/>
  <c r="C245" i="8"/>
  <c r="C244" i="8"/>
  <c r="C243" i="8"/>
  <c r="C242" i="8"/>
  <c r="C241" i="8"/>
  <c r="C240" i="8"/>
  <c r="C239" i="8"/>
  <c r="C238" i="8"/>
  <c r="C237" i="8"/>
  <c r="C236" i="8"/>
  <c r="C235" i="8"/>
  <c r="C234" i="8"/>
  <c r="C233" i="8"/>
  <c r="C232" i="8"/>
  <c r="C231" i="8"/>
  <c r="C230" i="8"/>
  <c r="C229" i="8"/>
  <c r="C228" i="8"/>
  <c r="C227" i="8"/>
  <c r="C226" i="8"/>
  <c r="C225" i="8"/>
  <c r="C224" i="8"/>
  <c r="C223" i="8"/>
  <c r="C222" i="8"/>
  <c r="C221" i="8"/>
  <c r="C220" i="8"/>
  <c r="C219" i="8"/>
  <c r="C218" i="8"/>
  <c r="C217" i="8"/>
  <c r="C216" i="8"/>
  <c r="C215" i="8"/>
  <c r="C214" i="8"/>
  <c r="C213" i="8"/>
  <c r="C212" i="8"/>
  <c r="C211" i="8"/>
  <c r="C210" i="8"/>
  <c r="C209" i="8"/>
  <c r="C208" i="8"/>
  <c r="C207" i="8"/>
  <c r="C206" i="8"/>
  <c r="C205" i="8"/>
  <c r="C204" i="8"/>
  <c r="C203" i="8"/>
  <c r="C202" i="8"/>
  <c r="C201" i="8"/>
  <c r="C200" i="8"/>
  <c r="C199" i="8"/>
  <c r="C198" i="8"/>
  <c r="C197" i="8"/>
  <c r="C196" i="8"/>
  <c r="C195" i="8"/>
  <c r="C194" i="8"/>
  <c r="C193" i="8"/>
  <c r="C192" i="8"/>
  <c r="C191" i="8"/>
  <c r="C190" i="8"/>
  <c r="C189" i="8"/>
  <c r="C188" i="8"/>
  <c r="C187" i="8"/>
  <c r="C186" i="8"/>
  <c r="C185" i="8"/>
  <c r="C184" i="8"/>
  <c r="C183" i="8"/>
  <c r="C182" i="8"/>
  <c r="C181" i="8"/>
  <c r="C180" i="8"/>
  <c r="C179" i="8"/>
  <c r="C178" i="8"/>
  <c r="C177" i="8"/>
  <c r="C176" i="8"/>
  <c r="C175" i="8"/>
  <c r="C174" i="8"/>
  <c r="C173" i="8"/>
  <c r="C172" i="8"/>
  <c r="C171" i="8"/>
  <c r="C170" i="8"/>
  <c r="C169" i="8"/>
  <c r="C168"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17" i="8"/>
  <c r="B9" i="8" l="1"/>
  <c r="V4" i="1" l="1"/>
  <c r="B5" i="8" l="1"/>
  <c r="V12" i="1"/>
  <c r="B11" i="8" l="1"/>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AB144" i="3"/>
  <c r="AB145" i="3"/>
  <c r="AB146" i="3"/>
  <c r="AB147" i="3"/>
  <c r="AB148" i="3"/>
  <c r="AB149" i="3"/>
  <c r="AB150" i="3"/>
  <c r="AB151" i="3"/>
  <c r="AB152" i="3"/>
  <c r="AB153" i="3"/>
  <c r="AB154" i="3"/>
  <c r="AB155" i="3"/>
  <c r="AB156" i="3"/>
  <c r="AB157" i="3"/>
  <c r="AB158" i="3"/>
  <c r="AB159" i="3"/>
  <c r="AB160" i="3"/>
  <c r="AB161" i="3"/>
  <c r="AB162" i="3"/>
  <c r="AB163" i="3"/>
  <c r="AB164" i="3"/>
  <c r="AB165" i="3"/>
  <c r="AB166" i="3"/>
  <c r="AB167" i="3"/>
  <c r="AB168" i="3"/>
  <c r="AB169" i="3"/>
  <c r="AB170" i="3"/>
  <c r="AB171" i="3"/>
  <c r="AB172" i="3"/>
  <c r="AB173" i="3"/>
  <c r="AB174" i="3"/>
  <c r="AB175" i="3"/>
  <c r="AB176" i="3"/>
  <c r="AB177" i="3"/>
  <c r="AB178" i="3"/>
  <c r="AB179" i="3"/>
  <c r="AB180" i="3"/>
  <c r="AB181" i="3"/>
  <c r="AB182" i="3"/>
  <c r="AB183" i="3"/>
  <c r="AB184" i="3"/>
  <c r="AB185" i="3"/>
  <c r="AB186" i="3"/>
  <c r="AB187" i="3"/>
  <c r="AB188" i="3"/>
  <c r="AB189" i="3"/>
  <c r="AB190" i="3"/>
  <c r="AB191" i="3"/>
  <c r="AB192" i="3"/>
  <c r="AB193" i="3"/>
  <c r="AB194" i="3"/>
  <c r="AB195" i="3"/>
  <c r="AB196" i="3"/>
  <c r="AB197" i="3"/>
  <c r="AB198" i="3"/>
  <c r="AB199" i="3"/>
  <c r="AB200" i="3"/>
  <c r="AB201" i="3"/>
  <c r="AB202" i="3"/>
  <c r="AB203" i="3"/>
  <c r="AB204" i="3"/>
  <c r="AB205" i="3"/>
  <c r="AB206" i="3"/>
  <c r="AB207" i="3"/>
  <c r="AB208" i="3"/>
  <c r="AB209" i="3"/>
  <c r="AB210" i="3"/>
  <c r="AB211" i="3"/>
  <c r="AB212" i="3"/>
  <c r="AB213" i="3"/>
  <c r="AB214" i="3"/>
  <c r="AB215" i="3"/>
  <c r="AB216" i="3"/>
  <c r="AB217" i="3"/>
  <c r="AB218" i="3"/>
  <c r="AB219" i="3"/>
  <c r="AB220" i="3"/>
  <c r="AB221" i="3"/>
  <c r="AB222" i="3"/>
  <c r="AB223" i="3"/>
  <c r="AB224" i="3"/>
  <c r="AB225" i="3"/>
  <c r="AB226" i="3"/>
  <c r="AB227" i="3"/>
  <c r="AB228" i="3"/>
  <c r="AB229" i="3"/>
  <c r="AB230" i="3"/>
  <c r="AB231" i="3"/>
  <c r="AB232" i="3"/>
  <c r="AB233" i="3"/>
  <c r="AB234" i="3"/>
  <c r="AB235" i="3"/>
  <c r="AB236" i="3"/>
  <c r="AB237" i="3"/>
  <c r="AB238" i="3"/>
  <c r="AB239" i="3"/>
  <c r="AB240" i="3"/>
  <c r="AB241" i="3"/>
  <c r="AB242" i="3"/>
  <c r="AB243" i="3"/>
  <c r="AB244" i="3"/>
  <c r="AB245" i="3"/>
  <c r="AB246" i="3"/>
  <c r="AB247" i="3"/>
  <c r="AB248" i="3"/>
  <c r="AB249" i="3"/>
  <c r="AB250" i="3"/>
  <c r="AB251" i="3"/>
  <c r="AB252" i="3"/>
  <c r="AB253" i="3"/>
  <c r="AB254" i="3"/>
  <c r="AB255" i="3"/>
  <c r="AB256" i="3"/>
  <c r="AB257" i="3"/>
  <c r="AB258" i="3"/>
  <c r="AB259" i="3"/>
  <c r="AB260" i="3"/>
  <c r="AB261" i="3"/>
  <c r="AB262" i="3"/>
  <c r="AB263" i="3"/>
  <c r="AB264" i="3"/>
  <c r="AB265" i="3"/>
  <c r="AB266" i="3"/>
  <c r="AB267" i="3"/>
  <c r="AB268" i="3"/>
  <c r="AB269" i="3"/>
  <c r="AB270" i="3"/>
  <c r="AB271" i="3"/>
  <c r="AB272" i="3"/>
  <c r="AB273" i="3"/>
  <c r="AB274" i="3"/>
  <c r="AB275" i="3"/>
  <c r="AB276" i="3"/>
  <c r="AB277" i="3"/>
  <c r="AB278" i="3"/>
  <c r="AB279" i="3"/>
  <c r="AB280" i="3"/>
  <c r="AB281" i="3"/>
  <c r="AB282" i="3"/>
  <c r="AB283" i="3"/>
  <c r="AB284" i="3"/>
  <c r="AB285" i="3"/>
  <c r="AB286" i="3"/>
  <c r="AB287" i="3"/>
  <c r="AB288" i="3"/>
  <c r="AB289" i="3"/>
  <c r="AB290" i="3"/>
  <c r="AB291" i="3"/>
  <c r="AB292" i="3"/>
  <c r="AB293" i="3"/>
  <c r="AB294" i="3"/>
  <c r="AB295" i="3"/>
  <c r="AB296" i="3"/>
  <c r="AB297" i="3"/>
  <c r="AB298" i="3"/>
  <c r="AB299" i="3"/>
  <c r="AB300" i="3"/>
  <c r="AB301" i="3"/>
  <c r="AB302" i="3"/>
  <c r="AB303" i="3"/>
  <c r="AB304" i="3"/>
  <c r="AB305" i="3"/>
  <c r="AB306" i="3"/>
  <c r="AB307" i="3"/>
  <c r="AB308" i="3"/>
  <c r="AB309" i="3"/>
  <c r="AB310" i="3"/>
  <c r="AB311" i="3"/>
  <c r="AB312" i="3"/>
  <c r="AB313" i="3"/>
  <c r="AB314" i="3"/>
  <c r="AB315" i="3"/>
  <c r="AB316" i="3"/>
  <c r="AB317" i="3"/>
  <c r="AB318" i="3"/>
  <c r="AB319" i="3"/>
  <c r="AB320" i="3"/>
  <c r="AB321" i="3"/>
  <c r="AB322" i="3"/>
  <c r="AB323" i="3"/>
  <c r="AB324" i="3"/>
  <c r="AB325" i="3"/>
  <c r="AB326" i="3"/>
  <c r="AB327" i="3"/>
  <c r="AB328" i="3"/>
  <c r="AB329" i="3"/>
  <c r="AB330" i="3"/>
  <c r="AB331" i="3"/>
  <c r="AB332" i="3"/>
  <c r="AB333" i="3"/>
  <c r="AB334" i="3"/>
  <c r="AB335" i="3"/>
  <c r="AB336" i="3"/>
  <c r="AB337" i="3"/>
  <c r="AB338" i="3"/>
  <c r="AB339" i="3"/>
  <c r="AB340" i="3"/>
  <c r="AB341" i="3"/>
  <c r="AB342" i="3"/>
  <c r="AB343" i="3"/>
  <c r="AB344" i="3"/>
  <c r="AB345" i="3"/>
  <c r="AB346" i="3"/>
  <c r="AB347" i="3"/>
  <c r="AB348" i="3"/>
  <c r="AB349" i="3"/>
  <c r="AB350" i="3"/>
  <c r="AB351" i="3"/>
  <c r="AB352" i="3"/>
  <c r="AB353" i="3"/>
  <c r="AB354" i="3"/>
  <c r="AB355" i="3"/>
  <c r="AB356" i="3"/>
  <c r="AB357" i="3"/>
  <c r="AB358" i="3"/>
  <c r="AB359" i="3"/>
  <c r="AB360" i="3"/>
  <c r="AB361" i="3"/>
  <c r="AB362" i="3"/>
  <c r="AB363" i="3"/>
  <c r="AB364" i="3"/>
  <c r="AB365" i="3"/>
  <c r="AB366" i="3"/>
  <c r="AB367" i="3"/>
  <c r="AB368" i="3"/>
  <c r="AB369" i="3"/>
  <c r="AB370" i="3"/>
  <c r="AB371" i="3"/>
  <c r="AB372" i="3"/>
  <c r="AB373" i="3"/>
  <c r="AB374" i="3"/>
  <c r="AB375" i="3"/>
  <c r="AB376" i="3"/>
  <c r="AB377" i="3"/>
  <c r="AB378" i="3"/>
  <c r="AB379" i="3"/>
  <c r="AB380" i="3"/>
  <c r="AB381" i="3"/>
  <c r="AB382" i="3"/>
  <c r="AB383" i="3"/>
  <c r="AB384" i="3"/>
  <c r="AB385" i="3"/>
  <c r="AB386" i="3"/>
  <c r="AB387" i="3"/>
  <c r="AB388" i="3"/>
  <c r="AB389" i="3"/>
  <c r="AB390" i="3"/>
  <c r="AB391" i="3"/>
  <c r="AB392" i="3"/>
  <c r="AB393" i="3"/>
  <c r="AB394" i="3"/>
  <c r="AB395" i="3"/>
  <c r="AB396" i="3"/>
  <c r="AB397" i="3"/>
  <c r="AB398" i="3"/>
  <c r="AB399" i="3"/>
  <c r="AB400" i="3"/>
  <c r="AB401" i="3"/>
  <c r="AB402" i="3"/>
  <c r="AB403" i="3"/>
  <c r="AB404" i="3"/>
  <c r="AB405" i="3"/>
  <c r="AB406" i="3"/>
  <c r="AB407" i="3"/>
  <c r="AB408" i="3"/>
  <c r="AB409" i="3"/>
  <c r="AB410" i="3"/>
  <c r="AB411" i="3"/>
  <c r="AB412" i="3"/>
  <c r="AB413" i="3"/>
  <c r="AB414" i="3"/>
  <c r="AB415" i="3"/>
  <c r="AB416" i="3"/>
  <c r="AB417" i="3"/>
  <c r="AB418" i="3"/>
  <c r="AB419" i="3"/>
  <c r="AB420" i="3"/>
  <c r="AB421" i="3"/>
  <c r="AB422" i="3"/>
  <c r="AB423" i="3"/>
  <c r="AB424" i="3"/>
  <c r="AB425" i="3"/>
  <c r="AB426" i="3"/>
  <c r="AB427" i="3"/>
  <c r="AB428" i="3"/>
  <c r="AB429" i="3"/>
  <c r="AB430" i="3"/>
  <c r="AB431" i="3"/>
  <c r="AB432" i="3"/>
  <c r="AB433" i="3"/>
  <c r="AB434" i="3"/>
  <c r="AB435" i="3"/>
  <c r="AB436" i="3"/>
  <c r="AB437" i="3"/>
  <c r="AB438" i="3"/>
  <c r="AB439" i="3"/>
  <c r="AB440" i="3"/>
  <c r="AB441" i="3"/>
  <c r="AB442" i="3"/>
  <c r="AB443" i="3"/>
  <c r="AB444" i="3"/>
  <c r="AB445" i="3"/>
  <c r="AB446" i="3"/>
  <c r="AB447" i="3"/>
  <c r="AB448" i="3"/>
  <c r="AB449" i="3"/>
  <c r="AB450" i="3"/>
  <c r="AB451" i="3"/>
  <c r="AB452" i="3"/>
  <c r="AB453" i="3"/>
  <c r="AB454" i="3"/>
  <c r="AB455" i="3"/>
  <c r="AB456" i="3"/>
  <c r="AB457" i="3"/>
  <c r="AB458" i="3"/>
  <c r="AB459" i="3"/>
  <c r="AB460" i="3"/>
  <c r="AB461" i="3"/>
  <c r="AB462" i="3"/>
  <c r="AB463" i="3"/>
  <c r="AB464" i="3"/>
  <c r="AB465" i="3"/>
  <c r="AB466" i="3"/>
  <c r="AB467" i="3"/>
  <c r="AB468" i="3"/>
  <c r="AB469" i="3"/>
  <c r="AB470" i="3"/>
  <c r="AB471" i="3"/>
  <c r="AB472" i="3"/>
  <c r="AB473" i="3"/>
  <c r="AB474" i="3"/>
  <c r="AB475" i="3"/>
  <c r="AB476" i="3"/>
  <c r="AB477" i="3"/>
  <c r="AB478" i="3"/>
  <c r="AB479" i="3"/>
  <c r="AB480" i="3"/>
  <c r="AB481" i="3"/>
  <c r="AB482" i="3"/>
  <c r="AB483" i="3"/>
  <c r="AB484" i="3"/>
  <c r="AB485" i="3"/>
  <c r="AB486" i="3"/>
  <c r="AB487" i="3"/>
  <c r="AB488" i="3"/>
  <c r="AB489" i="3"/>
  <c r="AB490" i="3"/>
  <c r="AB491" i="3"/>
  <c r="AB492" i="3"/>
  <c r="AB493" i="3"/>
  <c r="AB494" i="3"/>
  <c r="AB495" i="3"/>
  <c r="AB496" i="3"/>
  <c r="AB497" i="3"/>
  <c r="AB498" i="3"/>
  <c r="AB499" i="3"/>
  <c r="AB500" i="3"/>
  <c r="AB501" i="3"/>
  <c r="AB502" i="3"/>
  <c r="O16" i="1" l="1"/>
  <c r="B11" i="7" l="1"/>
  <c r="L16" i="1"/>
  <c r="B21" i="7"/>
  <c r="O20" i="1"/>
  <c r="B22" i="7"/>
  <c r="O21" i="1"/>
  <c r="O25" i="1"/>
  <c r="O26" i="1" l="1"/>
  <c r="B24" i="7"/>
  <c r="B25" i="7"/>
  <c r="O22" i="1"/>
  <c r="O23" i="1"/>
  <c r="B11" i="6"/>
  <c r="L17" i="1"/>
  <c r="B17" i="7" l="1"/>
  <c r="B18" i="7"/>
  <c r="B19" i="7"/>
  <c r="B12" i="6"/>
  <c r="L34" i="1"/>
  <c r="K36" i="1"/>
  <c r="O2" i="1"/>
  <c r="N36" i="1"/>
  <c r="L2" i="1"/>
  <c r="O34" i="1"/>
  <c r="B16" i="2"/>
  <c r="V11" i="1" s="1"/>
  <c r="B9" i="2"/>
  <c r="B8" i="2"/>
  <c r="B10" i="2"/>
  <c r="B4" i="8" s="1"/>
  <c r="B16" i="8" s="1"/>
  <c r="AB4" i="1"/>
  <c r="AB4" i="3" s="1"/>
  <c r="Y4" i="1"/>
  <c r="AB2" i="1"/>
  <c r="AB2" i="3" s="1"/>
  <c r="AB10" i="1"/>
  <c r="AB9" i="1"/>
  <c r="O12" i="1"/>
  <c r="AB6" i="1"/>
  <c r="AB3" i="1"/>
  <c r="N37" i="1"/>
  <c r="O3" i="1"/>
  <c r="AA18" i="1"/>
  <c r="L7" i="1"/>
  <c r="Y9" i="1"/>
  <c r="O10" i="1"/>
  <c r="X18" i="1"/>
  <c r="N14" i="1"/>
  <c r="O8" i="1"/>
  <c r="K37" i="1"/>
  <c r="L11" i="1"/>
  <c r="Y3" i="1"/>
  <c r="L10" i="1"/>
  <c r="K14" i="1"/>
  <c r="Y6" i="1"/>
  <c r="AB11" i="1"/>
  <c r="O9" i="1"/>
  <c r="AB8" i="1"/>
  <c r="O7" i="1"/>
  <c r="O11" i="1"/>
  <c r="Y8" i="1"/>
  <c r="L8" i="1"/>
  <c r="L9" i="1"/>
  <c r="L12" i="1"/>
  <c r="L3" i="1"/>
  <c r="AA18" i="3" l="1"/>
  <c r="B10" i="7"/>
  <c r="B8" i="7"/>
  <c r="B9" i="7"/>
  <c r="B8" i="6"/>
  <c r="B7" i="6"/>
  <c r="B9" i="6"/>
  <c r="B6" i="6"/>
  <c r="B10" i="6"/>
  <c r="B2" i="7"/>
  <c r="B6" i="7"/>
  <c r="B27" i="7" s="1"/>
  <c r="B5" i="7"/>
  <c r="B5" i="6"/>
  <c r="B2" i="6"/>
  <c r="B1" i="7"/>
  <c r="B1" i="6"/>
  <c r="B10" i="8"/>
  <c r="A129" i="1"/>
  <c r="B2" i="8"/>
  <c r="AB8" i="3"/>
  <c r="AB10" i="3"/>
  <c r="AB9" i="3"/>
  <c r="AB6" i="3"/>
  <c r="AB3" i="3"/>
  <c r="AB11" i="3"/>
  <c r="A36" i="1"/>
  <c r="A100" i="1"/>
  <c r="A19" i="1"/>
  <c r="A22" i="1"/>
  <c r="A69" i="1"/>
  <c r="A75" i="1"/>
  <c r="A44" i="1"/>
  <c r="A91" i="1"/>
  <c r="AB5" i="1"/>
  <c r="AB5" i="3" s="1"/>
  <c r="A30" i="1"/>
  <c r="A84" i="1"/>
  <c r="A50" i="1"/>
  <c r="A107" i="1"/>
  <c r="A5" i="1"/>
  <c r="A58" i="1"/>
  <c r="A116" i="1"/>
  <c r="A11" i="1"/>
  <c r="A61" i="1"/>
  <c r="A123" i="1"/>
  <c r="A6" i="1"/>
  <c r="A20" i="1"/>
  <c r="A34" i="1"/>
  <c r="A45" i="1"/>
  <c r="A59" i="1"/>
  <c r="A70" i="1"/>
  <c r="A85" i="1"/>
  <c r="A101" i="1"/>
  <c r="A117" i="1"/>
  <c r="A10" i="1"/>
  <c r="A21" i="1"/>
  <c r="A35" i="1"/>
  <c r="A46" i="1"/>
  <c r="A60" i="1"/>
  <c r="A74" i="1"/>
  <c r="A90" i="1"/>
  <c r="A106" i="1"/>
  <c r="A122" i="1"/>
  <c r="A12" i="1"/>
  <c r="A62" i="1"/>
  <c r="A108" i="1"/>
  <c r="S3" i="1"/>
  <c r="A13" i="1"/>
  <c r="A27" i="1"/>
  <c r="A38" i="1"/>
  <c r="A52" i="1"/>
  <c r="A66" i="1"/>
  <c r="A77" i="1"/>
  <c r="A93" i="1"/>
  <c r="A109" i="1"/>
  <c r="A125" i="1"/>
  <c r="A26" i="1"/>
  <c r="A51" i="1"/>
  <c r="A92" i="1"/>
  <c r="V3" i="1"/>
  <c r="A14" i="1"/>
  <c r="A28" i="1"/>
  <c r="A42" i="1"/>
  <c r="A53" i="1"/>
  <c r="A67" i="1"/>
  <c r="A82" i="1"/>
  <c r="A98" i="1"/>
  <c r="A114" i="1"/>
  <c r="A37" i="1"/>
  <c r="A76" i="1"/>
  <c r="A124" i="1"/>
  <c r="A4" i="1"/>
  <c r="A18" i="1"/>
  <c r="A29" i="1"/>
  <c r="A43" i="1"/>
  <c r="A54" i="1"/>
  <c r="A68" i="1"/>
  <c r="A83" i="1"/>
  <c r="A99" i="1"/>
  <c r="A115" i="1"/>
  <c r="A78" i="1"/>
  <c r="A86" i="1"/>
  <c r="A94" i="1"/>
  <c r="A102" i="1"/>
  <c r="A110" i="1"/>
  <c r="A118" i="1"/>
  <c r="A126" i="1"/>
  <c r="A7" i="1"/>
  <c r="A15" i="1"/>
  <c r="A23" i="1"/>
  <c r="A31" i="1"/>
  <c r="A39" i="1"/>
  <c r="A47" i="1"/>
  <c r="A55" i="1"/>
  <c r="A63" i="1"/>
  <c r="A71" i="1"/>
  <c r="A79" i="1"/>
  <c r="A87" i="1"/>
  <c r="A95" i="1"/>
  <c r="A103" i="1"/>
  <c r="A111" i="1"/>
  <c r="A119" i="1"/>
  <c r="A127" i="1"/>
  <c r="A8" i="1"/>
  <c r="A16" i="1"/>
  <c r="A24" i="1"/>
  <c r="A32" i="1"/>
  <c r="A40" i="1"/>
  <c r="A48" i="1"/>
  <c r="A56" i="1"/>
  <c r="A64" i="1"/>
  <c r="A72" i="1"/>
  <c r="A80" i="1"/>
  <c r="A88" i="1"/>
  <c r="A96" i="1"/>
  <c r="A104" i="1"/>
  <c r="A112" i="1"/>
  <c r="A120" i="1"/>
  <c r="A128" i="1"/>
  <c r="A3" i="1"/>
  <c r="A9" i="1"/>
  <c r="A17" i="1"/>
  <c r="A25" i="1"/>
  <c r="A33" i="1"/>
  <c r="A41" i="1"/>
  <c r="A49" i="1"/>
  <c r="A57" i="1"/>
  <c r="A65" i="1"/>
  <c r="A73" i="1"/>
  <c r="A81" i="1"/>
  <c r="A89" i="1"/>
  <c r="A97" i="1"/>
  <c r="A105" i="1"/>
  <c r="A113" i="1"/>
  <c r="A121" i="1"/>
  <c r="L5" i="1"/>
  <c r="O5" i="1"/>
  <c r="S5" i="1"/>
  <c r="Y5" i="1"/>
  <c r="V13" i="1"/>
  <c r="P36" i="1" a="1"/>
  <c r="V15" i="1"/>
  <c r="V14" i="1"/>
  <c r="V5" i="1" l="1"/>
  <c r="B6" i="8" s="1"/>
  <c r="B12" i="8"/>
  <c r="P116" i="1"/>
  <c r="P82" i="1"/>
  <c r="P55" i="1"/>
  <c r="P60" i="1"/>
  <c r="P121" i="1"/>
  <c r="P39" i="1"/>
  <c r="P118" i="1"/>
  <c r="P106" i="1"/>
  <c r="P96" i="1"/>
  <c r="P45" i="1"/>
  <c r="P130" i="1"/>
  <c r="P48" i="1"/>
  <c r="P61" i="1"/>
  <c r="P54" i="1"/>
  <c r="P119" i="1"/>
  <c r="P124" i="1"/>
  <c r="P90" i="1"/>
  <c r="P103" i="1"/>
  <c r="P85" i="1"/>
  <c r="P83" i="1"/>
  <c r="P81" i="1"/>
  <c r="P109" i="1"/>
  <c r="P99" i="1"/>
  <c r="P112" i="1"/>
  <c r="P126" i="1"/>
  <c r="P102" i="1"/>
  <c r="P46" i="1"/>
  <c r="P123" i="1"/>
  <c r="P41" i="1"/>
  <c r="P37" i="1"/>
  <c r="P122" i="1"/>
  <c r="P108" i="1"/>
  <c r="P93" i="1"/>
  <c r="P49" i="1"/>
  <c r="P110" i="1"/>
  <c r="P125" i="1"/>
  <c r="P75" i="1"/>
  <c r="P88" i="1"/>
  <c r="P69" i="1"/>
  <c r="P59" i="1"/>
  <c r="P72" i="1"/>
  <c r="P70" i="1"/>
  <c r="P92" i="1"/>
  <c r="P58" i="1"/>
  <c r="P94" i="1"/>
  <c r="P44" i="1"/>
  <c r="P105" i="1"/>
  <c r="P57" i="1"/>
  <c r="P47" i="1"/>
  <c r="P71" i="1"/>
  <c r="P74" i="1"/>
  <c r="P36" i="1"/>
  <c r="P87" i="1"/>
  <c r="P84" i="1"/>
  <c r="P50" i="1"/>
  <c r="P89" i="1"/>
  <c r="P68" i="1"/>
  <c r="P129" i="1"/>
  <c r="P111" i="1"/>
  <c r="P101" i="1"/>
  <c r="P73" i="1"/>
  <c r="P40" i="1"/>
  <c r="P53" i="1"/>
  <c r="P43" i="1"/>
  <c r="P56" i="1"/>
  <c r="P65" i="1"/>
  <c r="P114" i="1"/>
  <c r="P95" i="1"/>
  <c r="P38" i="1"/>
  <c r="P98" i="1"/>
  <c r="P80" i="1"/>
  <c r="P86" i="1"/>
  <c r="P91" i="1"/>
  <c r="P104" i="1"/>
  <c r="P117" i="1"/>
  <c r="P107" i="1"/>
  <c r="P120" i="1"/>
  <c r="P51" i="1"/>
  <c r="P64" i="1"/>
  <c r="P77" i="1"/>
  <c r="P67" i="1"/>
  <c r="P63" i="1"/>
  <c r="P97" i="1"/>
  <c r="P115" i="1"/>
  <c r="P128" i="1"/>
  <c r="P62" i="1"/>
  <c r="P42" i="1"/>
  <c r="P66" i="1"/>
  <c r="P79" i="1"/>
  <c r="P76" i="1"/>
  <c r="P52" i="1"/>
  <c r="P127" i="1"/>
  <c r="P113" i="1"/>
  <c r="P100" i="1"/>
  <c r="P78" i="1"/>
  <c r="B3" i="6"/>
  <c r="B3" i="7"/>
  <c r="B7" i="7"/>
  <c r="Y7" i="1"/>
  <c r="S4" i="1"/>
  <c r="S18" i="1"/>
  <c r="V8" i="1"/>
  <c r="L36" i="1" a="1"/>
  <c r="S10" i="1"/>
  <c r="O6" i="1"/>
  <c r="AB7" i="1"/>
  <c r="L6" i="1"/>
  <c r="S6" i="1"/>
  <c r="U60" i="1" l="1" a="1"/>
  <c r="U75" i="1" s="1"/>
  <c r="U18" i="1" a="1"/>
  <c r="U19" i="1" s="1"/>
  <c r="B4" i="6"/>
  <c r="B16" i="6" s="1"/>
  <c r="B18" i="6" s="1"/>
  <c r="B4" i="7"/>
  <c r="B28" i="7" s="1"/>
  <c r="AB7" i="3"/>
  <c r="L40" i="1"/>
  <c r="B7" i="8"/>
  <c r="L39" i="1"/>
  <c r="L37" i="1"/>
  <c r="L36" i="1"/>
  <c r="L46" i="1"/>
  <c r="L43" i="1"/>
  <c r="L38" i="1"/>
  <c r="L49" i="1"/>
  <c r="L50" i="1"/>
  <c r="L48" i="1"/>
  <c r="L42" i="1"/>
  <c r="L45" i="1"/>
  <c r="L47" i="1"/>
  <c r="AE8" i="1"/>
  <c r="L41" i="1"/>
  <c r="L44" i="1"/>
  <c r="O17" i="1"/>
  <c r="O19" i="1"/>
  <c r="O36" i="1" a="1"/>
  <c r="O18" i="1"/>
  <c r="B29" i="7"/>
  <c r="B30" i="7"/>
  <c r="B37" i="7"/>
  <c r="D67" i="1"/>
  <c r="C104" i="1"/>
  <c r="F81" i="1"/>
  <c r="D77" i="1"/>
  <c r="D25" i="1"/>
  <c r="D56" i="1"/>
  <c r="F66" i="1"/>
  <c r="C49" i="1"/>
  <c r="F11" i="1"/>
  <c r="F29" i="1"/>
  <c r="C61" i="1"/>
  <c r="F43" i="1"/>
  <c r="F119" i="1"/>
  <c r="D126" i="1"/>
  <c r="F48" i="1"/>
  <c r="C67" i="1"/>
  <c r="C30" i="1"/>
  <c r="D6" i="1"/>
  <c r="D15" i="1"/>
  <c r="D60" i="1"/>
  <c r="F88" i="1"/>
  <c r="C74" i="1"/>
  <c r="D105" i="1"/>
  <c r="D21" i="1"/>
  <c r="C124" i="1"/>
  <c r="U106" i="1"/>
  <c r="C60" i="1"/>
  <c r="C36" i="1"/>
  <c r="C69" i="1"/>
  <c r="C40" i="1"/>
  <c r="D17" i="1"/>
  <c r="F55" i="1"/>
  <c r="D64" i="1"/>
  <c r="C73" i="1"/>
  <c r="D45" i="1"/>
  <c r="F108" i="1"/>
  <c r="C43" i="1"/>
  <c r="F70" i="1"/>
  <c r="C22" i="1"/>
  <c r="C27" i="1"/>
  <c r="D72" i="1"/>
  <c r="D76" i="1"/>
  <c r="C58" i="1"/>
  <c r="F79" i="1"/>
  <c r="C38" i="1"/>
  <c r="F59" i="1"/>
  <c r="D4" i="1"/>
  <c r="C114" i="1"/>
  <c r="F75" i="1"/>
  <c r="D80" i="1"/>
  <c r="F14" i="1"/>
  <c r="F58" i="1"/>
  <c r="F47" i="1"/>
  <c r="C20" i="1"/>
  <c r="D29" i="1"/>
  <c r="D39" i="1"/>
  <c r="F6" i="1"/>
  <c r="C24" i="1"/>
  <c r="D42" i="1"/>
  <c r="D92" i="1"/>
  <c r="F38" i="1"/>
  <c r="C80" i="1"/>
  <c r="D109" i="1"/>
  <c r="F13" i="1"/>
  <c r="F90" i="1"/>
  <c r="D106" i="1"/>
  <c r="F61" i="1"/>
  <c r="D118" i="1"/>
  <c r="C26" i="1"/>
  <c r="D5" i="1"/>
  <c r="C101" i="1"/>
  <c r="C37" i="1"/>
  <c r="D51" i="1"/>
  <c r="C15" i="1"/>
  <c r="D75" i="1"/>
  <c r="F126" i="1"/>
  <c r="F129" i="1"/>
  <c r="C115" i="1"/>
  <c r="F50" i="1"/>
  <c r="C11" i="1"/>
  <c r="F121" i="1"/>
  <c r="D43" i="1"/>
  <c r="C117" i="1"/>
  <c r="F37" i="1"/>
  <c r="D73" i="1"/>
  <c r="D9" i="1"/>
  <c r="F28" i="1"/>
  <c r="C17" i="1"/>
  <c r="C53" i="1"/>
  <c r="D69" i="1"/>
  <c r="C83" i="1"/>
  <c r="D79" i="1"/>
  <c r="F40" i="1"/>
  <c r="C68" i="1"/>
  <c r="C108" i="1"/>
  <c r="F71" i="1"/>
  <c r="D84" i="1"/>
  <c r="C95" i="1"/>
  <c r="F12" i="1"/>
  <c r="C32" i="1"/>
  <c r="C81" i="1"/>
  <c r="C64" i="1"/>
  <c r="F111" i="1"/>
  <c r="D78" i="1"/>
  <c r="C106" i="1"/>
  <c r="F15" i="1"/>
  <c r="D22" i="1"/>
  <c r="C105" i="1"/>
  <c r="C19" i="1"/>
  <c r="C28" i="1"/>
  <c r="F57" i="1"/>
  <c r="C52" i="1"/>
  <c r="D82" i="1"/>
  <c r="D121" i="1"/>
  <c r="F118" i="1"/>
  <c r="C65" i="1"/>
  <c r="C111" i="1"/>
  <c r="C63" i="1"/>
  <c r="F107" i="1"/>
  <c r="D87" i="1"/>
  <c r="D123" i="1"/>
  <c r="F112" i="1"/>
  <c r="D95" i="1"/>
  <c r="D100" i="1"/>
  <c r="F16" i="1"/>
  <c r="C119" i="1"/>
  <c r="C116" i="1"/>
  <c r="C98" i="1"/>
  <c r="D117" i="1"/>
  <c r="F41" i="1"/>
  <c r="C97" i="1"/>
  <c r="C109" i="1"/>
  <c r="D8" i="1"/>
  <c r="D40" i="1"/>
  <c r="C9" i="1"/>
  <c r="C39" i="1"/>
  <c r="F53" i="1"/>
  <c r="F95" i="1"/>
  <c r="F105" i="1"/>
  <c r="F56" i="1"/>
  <c r="C91" i="1"/>
  <c r="D12" i="1"/>
  <c r="D14" i="1"/>
  <c r="F51" i="1"/>
  <c r="D102" i="1"/>
  <c r="C34" i="1"/>
  <c r="D49" i="1"/>
  <c r="F72" i="1"/>
  <c r="D116" i="1"/>
  <c r="D127" i="1"/>
  <c r="D7" i="1"/>
  <c r="F103" i="1"/>
  <c r="D74" i="1"/>
  <c r="C123" i="1"/>
  <c r="F85" i="1"/>
  <c r="D89" i="1"/>
  <c r="D122" i="1"/>
  <c r="C107" i="1"/>
  <c r="C62" i="1"/>
  <c r="D19" i="1"/>
  <c r="D47" i="1"/>
  <c r="F92" i="1"/>
  <c r="F73" i="1"/>
  <c r="F82" i="1"/>
  <c r="F106" i="1"/>
  <c r="D10" i="1"/>
  <c r="D97" i="1"/>
  <c r="C23" i="1"/>
  <c r="D58" i="1"/>
  <c r="C5" i="1"/>
  <c r="D70" i="1"/>
  <c r="F93" i="1"/>
  <c r="C66" i="1"/>
  <c r="F36" i="1"/>
  <c r="C121" i="1"/>
  <c r="F9" i="1"/>
  <c r="D16" i="1"/>
  <c r="C100" i="1"/>
  <c r="F21" i="1"/>
  <c r="C129" i="1"/>
  <c r="D59" i="1"/>
  <c r="C102" i="1"/>
  <c r="F54" i="1"/>
  <c r="C82" i="1"/>
  <c r="F17" i="1"/>
  <c r="F31" i="1"/>
  <c r="F20" i="1"/>
  <c r="F115" i="1"/>
  <c r="D46" i="1"/>
  <c r="F68" i="1"/>
  <c r="C13" i="1"/>
  <c r="C126" i="1"/>
  <c r="F46" i="1"/>
  <c r="D98" i="1"/>
  <c r="C45" i="1"/>
  <c r="C18" i="1"/>
  <c r="D107" i="1"/>
  <c r="C128" i="1"/>
  <c r="D13" i="1"/>
  <c r="F63" i="1"/>
  <c r="C86" i="1"/>
  <c r="F117" i="1"/>
  <c r="C3" i="1"/>
  <c r="D71" i="1"/>
  <c r="F62" i="1"/>
  <c r="F124" i="1"/>
  <c r="C14" i="1"/>
  <c r="D115" i="1"/>
  <c r="C90" i="1"/>
  <c r="D28" i="1"/>
  <c r="F60" i="1"/>
  <c r="F113" i="1"/>
  <c r="F91" i="1"/>
  <c r="F120" i="1"/>
  <c r="C118" i="1"/>
  <c r="D90" i="1"/>
  <c r="C55" i="1"/>
  <c r="D11" i="1"/>
  <c r="C89" i="1"/>
  <c r="F125" i="1"/>
  <c r="D52" i="1"/>
  <c r="F128" i="1"/>
  <c r="C16" i="1"/>
  <c r="D65" i="1"/>
  <c r="F5" i="1"/>
  <c r="D3" i="1"/>
  <c r="F52" i="1"/>
  <c r="C79" i="1"/>
  <c r="F76" i="1"/>
  <c r="C77" i="1"/>
  <c r="D66" i="1"/>
  <c r="C59" i="1"/>
  <c r="D111" i="1"/>
  <c r="C12" i="1"/>
  <c r="F80" i="1"/>
  <c r="C6" i="1"/>
  <c r="D62" i="1"/>
  <c r="C10" i="1"/>
  <c r="C57" i="1"/>
  <c r="F127" i="1"/>
  <c r="F104" i="1"/>
  <c r="D31" i="1"/>
  <c r="F45" i="1"/>
  <c r="D63" i="1"/>
  <c r="C127" i="1"/>
  <c r="F24" i="1"/>
  <c r="D37" i="1"/>
  <c r="C103" i="1"/>
  <c r="F3" i="1"/>
  <c r="F32" i="1"/>
  <c r="D53" i="1"/>
  <c r="F10" i="1"/>
  <c r="D104" i="1"/>
  <c r="D129" i="1"/>
  <c r="F42" i="1"/>
  <c r="C46" i="1"/>
  <c r="F84" i="1"/>
  <c r="F74" i="1"/>
  <c r="D125" i="1"/>
  <c r="F65" i="1"/>
  <c r="C76" i="1"/>
  <c r="C88" i="1"/>
  <c r="C8" i="1"/>
  <c r="D101" i="1"/>
  <c r="F89" i="1"/>
  <c r="C99" i="1"/>
  <c r="F87" i="1"/>
  <c r="F100" i="1"/>
  <c r="D114" i="1"/>
  <c r="D91" i="1"/>
  <c r="C29" i="1"/>
  <c r="D128" i="1"/>
  <c r="D20" i="1"/>
  <c r="D41" i="1"/>
  <c r="D93" i="1"/>
  <c r="D81" i="1"/>
  <c r="F83" i="1"/>
  <c r="D85" i="1"/>
  <c r="F98" i="1"/>
  <c r="D38" i="1"/>
  <c r="F77" i="1"/>
  <c r="C25" i="1"/>
  <c r="D103" i="1"/>
  <c r="C42" i="1"/>
  <c r="D96" i="1"/>
  <c r="C31" i="1"/>
  <c r="F26" i="1"/>
  <c r="C96" i="1"/>
  <c r="D44" i="1"/>
  <c r="C50" i="1"/>
  <c r="F19" i="1"/>
  <c r="D113" i="1"/>
  <c r="F97" i="1"/>
  <c r="C78" i="1"/>
  <c r="F8" i="1"/>
  <c r="F35" i="1"/>
  <c r="F64" i="1"/>
  <c r="F101" i="1"/>
  <c r="C92" i="1"/>
  <c r="D18" i="1"/>
  <c r="F116" i="1"/>
  <c r="C41" i="1"/>
  <c r="C44" i="1"/>
  <c r="C94" i="1"/>
  <c r="C112" i="1"/>
  <c r="D30" i="1"/>
  <c r="D120" i="1"/>
  <c r="D99" i="1"/>
  <c r="D50" i="1"/>
  <c r="C120" i="1"/>
  <c r="C72" i="1"/>
  <c r="C4" i="1"/>
  <c r="C75" i="1"/>
  <c r="D34" i="1"/>
  <c r="D48" i="1"/>
  <c r="F67" i="1"/>
  <c r="D112" i="1"/>
  <c r="D23" i="1"/>
  <c r="F44" i="1"/>
  <c r="F25" i="1"/>
  <c r="F78" i="1"/>
  <c r="C33" i="1"/>
  <c r="F27" i="1"/>
  <c r="C21" i="1"/>
  <c r="C93" i="1"/>
  <c r="C113" i="1"/>
  <c r="D88" i="1"/>
  <c r="C87" i="1"/>
  <c r="F102" i="1"/>
  <c r="F96" i="1"/>
  <c r="F110" i="1"/>
  <c r="D55" i="1"/>
  <c r="F30" i="1"/>
  <c r="C122" i="1"/>
  <c r="D68" i="1"/>
  <c r="F49" i="1"/>
  <c r="C7" i="1"/>
  <c r="F109" i="1"/>
  <c r="F18" i="1"/>
  <c r="F39" i="1"/>
  <c r="D24" i="1"/>
  <c r="C56" i="1"/>
  <c r="D33" i="1"/>
  <c r="F123" i="1"/>
  <c r="D35" i="1"/>
  <c r="C85" i="1"/>
  <c r="D108" i="1"/>
  <c r="C48" i="1"/>
  <c r="D32" i="1"/>
  <c r="C70" i="1"/>
  <c r="C125" i="1"/>
  <c r="C71" i="1"/>
  <c r="D86" i="1"/>
  <c r="D27" i="1"/>
  <c r="D26" i="1"/>
  <c r="D124" i="1"/>
  <c r="F4" i="1"/>
  <c r="F94" i="1"/>
  <c r="D94" i="1"/>
  <c r="D119" i="1"/>
  <c r="D54" i="1"/>
  <c r="D36" i="1"/>
  <c r="D61" i="1"/>
  <c r="D83" i="1"/>
  <c r="F23" i="1"/>
  <c r="C47" i="1"/>
  <c r="C51" i="1"/>
  <c r="F122" i="1"/>
  <c r="D110" i="1"/>
  <c r="F69" i="1"/>
  <c r="F22" i="1"/>
  <c r="F86" i="1"/>
  <c r="C110" i="1"/>
  <c r="F7" i="1"/>
  <c r="F33" i="1"/>
  <c r="C54" i="1"/>
  <c r="F34" i="1"/>
  <c r="C35" i="1"/>
  <c r="F114" i="1"/>
  <c r="D57" i="1"/>
  <c r="F99" i="1"/>
  <c r="C84" i="1"/>
  <c r="B32" i="7"/>
  <c r="B33" i="7" s="1"/>
  <c r="B34" i="7"/>
  <c r="U95" i="1" l="1"/>
  <c r="U80" i="1"/>
  <c r="U71" i="1"/>
  <c r="U70" i="1"/>
  <c r="U78" i="1"/>
  <c r="U24" i="1"/>
  <c r="U25" i="1"/>
  <c r="U57" i="1"/>
  <c r="U23" i="1"/>
  <c r="U29" i="1"/>
  <c r="V29" i="1" s="1"/>
  <c r="U64" i="1"/>
  <c r="U97" i="1"/>
  <c r="U43" i="1"/>
  <c r="U51" i="1"/>
  <c r="U81" i="1"/>
  <c r="U86" i="1"/>
  <c r="V86" i="1" s="1"/>
  <c r="U98" i="1"/>
  <c r="U91" i="1"/>
  <c r="U89" i="1"/>
  <c r="U40" i="1"/>
  <c r="U34" i="1"/>
  <c r="U26" i="1"/>
  <c r="U33" i="1"/>
  <c r="U35" i="1"/>
  <c r="V35" i="1" s="1"/>
  <c r="U85" i="1"/>
  <c r="U73" i="1"/>
  <c r="U76" i="1"/>
  <c r="U21" i="1"/>
  <c r="U53" i="1"/>
  <c r="U54" i="1"/>
  <c r="U20" i="1"/>
  <c r="U42" i="1"/>
  <c r="U84" i="1"/>
  <c r="U88" i="1"/>
  <c r="U72" i="1"/>
  <c r="U36" i="1"/>
  <c r="U30" i="1"/>
  <c r="U45" i="1"/>
  <c r="U87" i="1"/>
  <c r="V87" i="1" s="1"/>
  <c r="U66" i="1"/>
  <c r="U63" i="1"/>
  <c r="U61" i="1"/>
  <c r="V62" i="1" s="1"/>
  <c r="U65" i="1"/>
  <c r="U27" i="1"/>
  <c r="U38" i="1"/>
  <c r="V38" i="1" s="1"/>
  <c r="U52" i="1"/>
  <c r="U39" i="1"/>
  <c r="V39" i="1" s="1"/>
  <c r="U56" i="1"/>
  <c r="U82" i="1"/>
  <c r="U74" i="1"/>
  <c r="U18" i="1"/>
  <c r="V19" i="1" s="1"/>
  <c r="U77" i="1"/>
  <c r="U90" i="1"/>
  <c r="V90" i="1" s="1"/>
  <c r="U92" i="1"/>
  <c r="U79" i="1"/>
  <c r="U67" i="1"/>
  <c r="V67" i="1" s="1"/>
  <c r="U37" i="1"/>
  <c r="U48" i="1"/>
  <c r="U31" i="1"/>
  <c r="U41" i="1"/>
  <c r="U47" i="1"/>
  <c r="U94" i="1"/>
  <c r="U96" i="1"/>
  <c r="U83" i="1"/>
  <c r="V83" i="1" s="1"/>
  <c r="U68" i="1"/>
  <c r="U93" i="1"/>
  <c r="U55" i="1"/>
  <c r="U22" i="1"/>
  <c r="U49" i="1"/>
  <c r="U32" i="1"/>
  <c r="U60" i="1"/>
  <c r="B19" i="8" s="1"/>
  <c r="U99" i="1"/>
  <c r="V99" i="1" s="1"/>
  <c r="U62" i="1"/>
  <c r="U69" i="1"/>
  <c r="V69" i="1" s="1"/>
  <c r="U50" i="1"/>
  <c r="U46" i="1"/>
  <c r="U28" i="1"/>
  <c r="V28" i="1" s="1"/>
  <c r="U44" i="1"/>
  <c r="C26" i="8"/>
  <c r="B36" i="7"/>
  <c r="B15" i="7"/>
  <c r="B16" i="7"/>
  <c r="B14" i="7"/>
  <c r="E129" i="1"/>
  <c r="V30" i="1"/>
  <c r="V37" i="1"/>
  <c r="V22" i="1"/>
  <c r="O51" i="1"/>
  <c r="O115" i="1"/>
  <c r="O68" i="1"/>
  <c r="O132" i="1"/>
  <c r="O77" i="1"/>
  <c r="O38" i="1"/>
  <c r="O118" i="1"/>
  <c r="O129" i="1"/>
  <c r="O87" i="1"/>
  <c r="O48" i="1"/>
  <c r="O112" i="1"/>
  <c r="O42" i="1"/>
  <c r="O114" i="1"/>
  <c r="O123" i="1"/>
  <c r="O76" i="1"/>
  <c r="O46" i="1"/>
  <c r="O85" i="1"/>
  <c r="O126" i="1"/>
  <c r="O50" i="1"/>
  <c r="O95" i="1"/>
  <c r="O120" i="1"/>
  <c r="O58" i="1"/>
  <c r="O67" i="1"/>
  <c r="O84" i="1"/>
  <c r="O93" i="1"/>
  <c r="O134" i="1"/>
  <c r="O39" i="1"/>
  <c r="O64" i="1"/>
  <c r="O128" i="1"/>
  <c r="O130" i="1"/>
  <c r="O74" i="1"/>
  <c r="O100" i="1"/>
  <c r="O86" i="1"/>
  <c r="O119" i="1"/>
  <c r="O82" i="1"/>
  <c r="O63" i="1"/>
  <c r="O59" i="1"/>
  <c r="O62" i="1"/>
  <c r="O56" i="1"/>
  <c r="O122" i="1"/>
  <c r="O131" i="1"/>
  <c r="O57" i="1"/>
  <c r="O70" i="1"/>
  <c r="O103" i="1"/>
  <c r="O66" i="1"/>
  <c r="O92" i="1"/>
  <c r="O101" i="1"/>
  <c r="O78" i="1"/>
  <c r="O47" i="1"/>
  <c r="O111" i="1"/>
  <c r="O49" i="1"/>
  <c r="O83" i="1"/>
  <c r="O45" i="1"/>
  <c r="O65" i="1"/>
  <c r="O80" i="1"/>
  <c r="O53" i="1"/>
  <c r="O127" i="1"/>
  <c r="O90" i="1"/>
  <c r="O75" i="1"/>
  <c r="O54" i="1"/>
  <c r="O37" i="1"/>
  <c r="O41" i="1"/>
  <c r="O72" i="1"/>
  <c r="O36" i="1"/>
  <c r="O109" i="1"/>
  <c r="O55" i="1"/>
  <c r="O73" i="1"/>
  <c r="O44" i="1"/>
  <c r="O94" i="1"/>
  <c r="O88" i="1"/>
  <c r="O99" i="1"/>
  <c r="O52" i="1"/>
  <c r="O116" i="1"/>
  <c r="O61" i="1"/>
  <c r="O125" i="1"/>
  <c r="O102" i="1"/>
  <c r="O97" i="1"/>
  <c r="O71" i="1"/>
  <c r="O135" i="1"/>
  <c r="O96" i="1"/>
  <c r="O105" i="1"/>
  <c r="O98" i="1"/>
  <c r="O43" i="1"/>
  <c r="O107" i="1"/>
  <c r="O60" i="1"/>
  <c r="O124" i="1"/>
  <c r="O69" i="1"/>
  <c r="O133" i="1"/>
  <c r="O110" i="1"/>
  <c r="O113" i="1"/>
  <c r="O79" i="1"/>
  <c r="O40" i="1"/>
  <c r="O104" i="1"/>
  <c r="O121" i="1"/>
  <c r="O106" i="1"/>
  <c r="O91" i="1"/>
  <c r="O108" i="1"/>
  <c r="O117" i="1"/>
  <c r="O81" i="1"/>
  <c r="O89" i="1"/>
  <c r="V36" i="1"/>
  <c r="V24" i="1"/>
  <c r="V21" i="1"/>
  <c r="V26" i="1"/>
  <c r="V23" i="1"/>
  <c r="V88" i="1"/>
  <c r="V40" i="1"/>
  <c r="V32" i="1"/>
  <c r="V77" i="1"/>
  <c r="V27" i="1"/>
  <c r="V34" i="1"/>
  <c r="V41" i="1"/>
  <c r="V74" i="1"/>
  <c r="V93" i="1"/>
  <c r="V31" i="1"/>
  <c r="V75" i="1"/>
  <c r="V73" i="1"/>
  <c r="V78" i="1"/>
  <c r="V80" i="1"/>
  <c r="V95" i="1"/>
  <c r="V72" i="1"/>
  <c r="V76" i="1"/>
  <c r="V82" i="1"/>
  <c r="V84" i="1"/>
  <c r="V85" i="1"/>
  <c r="V97" i="1"/>
  <c r="V94" i="1"/>
  <c r="V92" i="1"/>
  <c r="V91" i="1"/>
  <c r="V89" i="1"/>
  <c r="V98" i="1"/>
  <c r="V18" i="1"/>
  <c r="V65" i="1"/>
  <c r="V70" i="1"/>
  <c r="V64" i="1"/>
  <c r="V63" i="1"/>
  <c r="V71" i="1"/>
  <c r="V66" i="1"/>
  <c r="B38" i="7"/>
  <c r="V68" i="1" l="1"/>
  <c r="C25" i="8"/>
  <c r="C24" i="8"/>
  <c r="B20" i="8"/>
  <c r="V79" i="1"/>
  <c r="V25" i="1"/>
  <c r="V20" i="1"/>
  <c r="V33" i="1"/>
  <c r="V96" i="1"/>
  <c r="V81" i="1"/>
  <c r="V60" i="1"/>
  <c r="B18" i="8"/>
  <c r="V61" i="1"/>
  <c r="B39" i="7"/>
  <c r="E128" i="1"/>
  <c r="D52" i="7"/>
  <c r="D77" i="7"/>
  <c r="D70" i="7"/>
  <c r="D48" i="7"/>
  <c r="D55" i="7"/>
  <c r="D47" i="7"/>
  <c r="D53" i="7"/>
  <c r="D58" i="7"/>
  <c r="D18" i="7"/>
  <c r="D2" i="7"/>
  <c r="D19" i="7"/>
  <c r="D40" i="7"/>
  <c r="D84" i="7"/>
  <c r="D62" i="7"/>
  <c r="D46" i="7"/>
  <c r="D12" i="7"/>
  <c r="D68" i="7"/>
  <c r="D31" i="7"/>
  <c r="D61" i="7"/>
  <c r="D34" i="7"/>
  <c r="D42" i="7"/>
  <c r="D63" i="7"/>
  <c r="D22" i="7"/>
  <c r="D36" i="7"/>
  <c r="D29" i="7"/>
  <c r="D38" i="7"/>
  <c r="D80" i="7"/>
  <c r="D79" i="7"/>
  <c r="D60" i="7"/>
  <c r="D27" i="7"/>
  <c r="D21" i="7"/>
  <c r="D73" i="7"/>
  <c r="D23" i="7"/>
  <c r="D81" i="7"/>
  <c r="D14" i="7"/>
  <c r="D49" i="7"/>
  <c r="D86" i="7"/>
  <c r="D50" i="7"/>
  <c r="D7" i="7"/>
  <c r="D28" i="7"/>
  <c r="D54" i="7"/>
  <c r="D24" i="7"/>
  <c r="D85" i="7"/>
  <c r="D4" i="7"/>
  <c r="D66" i="7"/>
  <c r="D26" i="7"/>
  <c r="D59" i="7"/>
  <c r="D56" i="7"/>
  <c r="D3" i="7"/>
  <c r="D11" i="7"/>
  <c r="D25" i="7"/>
  <c r="D82" i="7"/>
  <c r="D76" i="7"/>
  <c r="D39" i="7"/>
  <c r="D75" i="7"/>
  <c r="D72" i="7"/>
  <c r="D67" i="7"/>
  <c r="D78" i="7"/>
  <c r="D71" i="7"/>
  <c r="D13" i="7"/>
  <c r="D17" i="7"/>
  <c r="D83" i="7"/>
  <c r="D33" i="7"/>
  <c r="D51" i="7"/>
  <c r="D6" i="7"/>
  <c r="D69" i="7"/>
  <c r="D64" i="7"/>
  <c r="D10" i="7"/>
  <c r="D20" i="7"/>
  <c r="D45" i="7"/>
  <c r="D65" i="7"/>
  <c r="D57" i="7"/>
  <c r="D8" i="7"/>
  <c r="D43" i="7"/>
  <c r="D41" i="7"/>
  <c r="D9" i="7"/>
  <c r="D35" i="7"/>
  <c r="D37" i="7"/>
  <c r="D15" i="7"/>
  <c r="D32" i="7"/>
  <c r="D44" i="7"/>
  <c r="D5" i="7"/>
  <c r="D16" i="7"/>
  <c r="D74" i="7"/>
  <c r="D30" i="7"/>
  <c r="B28" i="8"/>
  <c r="B29" i="8" l="1"/>
  <c r="B30" i="8" s="1"/>
  <c r="E127" i="1"/>
  <c r="E126" i="1" l="1"/>
  <c r="E125" i="1" l="1"/>
  <c r="E124" i="1" l="1"/>
  <c r="E123" i="1" l="1"/>
  <c r="E122" i="1" l="1"/>
  <c r="E121" i="1" l="1"/>
  <c r="E120" i="1" l="1"/>
  <c r="E119" i="1" l="1"/>
  <c r="E118" i="1" l="1"/>
  <c r="E117" i="1" l="1"/>
  <c r="E116" i="1" l="1"/>
  <c r="E115" i="1" l="1"/>
  <c r="E114" i="1" l="1"/>
  <c r="E113" i="1" l="1"/>
  <c r="E112" i="1" l="1"/>
  <c r="E111" i="1" l="1"/>
  <c r="E110" i="1" l="1"/>
  <c r="E109" i="1" l="1"/>
  <c r="E108" i="1" l="1"/>
  <c r="E107" i="1" l="1"/>
  <c r="E106" i="1" l="1"/>
  <c r="E105" i="1" l="1"/>
  <c r="E104" i="1" l="1"/>
  <c r="E103" i="1" l="1"/>
  <c r="E102" i="1" l="1"/>
  <c r="E101" i="1" l="1"/>
  <c r="E100" i="1" l="1"/>
  <c r="E99" i="1" l="1"/>
  <c r="E98" i="1" l="1"/>
  <c r="E97" i="1" l="1"/>
  <c r="E96" i="1" l="1"/>
  <c r="E95" i="1" l="1"/>
  <c r="E94" i="1" l="1"/>
  <c r="E93" i="1" l="1"/>
  <c r="E92" i="1" l="1"/>
  <c r="E91" i="1" l="1"/>
  <c r="E90" i="1" l="1"/>
  <c r="E89" i="1" l="1"/>
  <c r="E88" i="1" l="1"/>
  <c r="E87" i="1" l="1"/>
  <c r="E86" i="1" l="1"/>
  <c r="E85" i="1" l="1"/>
  <c r="E84" i="1" l="1"/>
  <c r="E83" i="1" l="1"/>
  <c r="E82" i="1" l="1"/>
  <c r="E81" i="1" l="1"/>
  <c r="E80" i="1" l="1"/>
  <c r="E79" i="1" l="1"/>
  <c r="E78" i="1" l="1"/>
  <c r="E77" i="1" l="1"/>
  <c r="E76" i="1" l="1"/>
  <c r="E75" i="1" l="1"/>
  <c r="E74" i="1" l="1"/>
  <c r="E73" i="1" l="1"/>
  <c r="E72" i="1" l="1"/>
  <c r="E71" i="1" l="1"/>
  <c r="E70" i="1" l="1"/>
  <c r="E69" i="1" l="1"/>
  <c r="E68" i="1" l="1"/>
  <c r="E67" i="1" l="1"/>
  <c r="E66" i="1" l="1"/>
  <c r="E65" i="1" l="1"/>
  <c r="E64" i="1" l="1"/>
  <c r="E63" i="1" l="1"/>
  <c r="E62" i="1" l="1"/>
  <c r="E61" i="1" l="1"/>
  <c r="E60" i="1" l="1"/>
  <c r="E59" i="1" l="1"/>
  <c r="E58" i="1" l="1"/>
  <c r="E57" i="1" l="1"/>
  <c r="E56" i="1" l="1"/>
  <c r="E55" i="1" l="1"/>
  <c r="E54" i="1" l="1"/>
  <c r="E53" i="1" l="1"/>
  <c r="E52" i="1" l="1"/>
  <c r="E51" i="1" l="1"/>
  <c r="E50" i="1" l="1"/>
  <c r="E49" i="1" l="1"/>
  <c r="E48" i="1" l="1"/>
  <c r="E47" i="1" l="1"/>
  <c r="E46" i="1" l="1"/>
  <c r="E45" i="1" l="1"/>
  <c r="E44" i="1" l="1"/>
  <c r="E43" i="1" l="1"/>
  <c r="E42" i="1" l="1"/>
  <c r="E41" i="1" l="1"/>
  <c r="E40" i="1" l="1"/>
  <c r="E39" i="1" l="1"/>
  <c r="E38" i="1" l="1"/>
  <c r="E37" i="1" l="1"/>
  <c r="E36" i="1" l="1"/>
  <c r="E35" i="1" l="1"/>
  <c r="E34" i="1" l="1"/>
  <c r="E33" i="1" l="1"/>
  <c r="E32" i="1" l="1"/>
  <c r="E31" i="1" l="1"/>
  <c r="E30" i="1" l="1"/>
  <c r="E29" i="1" l="1"/>
  <c r="E28" i="1" l="1"/>
  <c r="E27" i="1" l="1"/>
  <c r="E26" i="1" l="1"/>
  <c r="E25" i="1" l="1"/>
  <c r="E24" i="1" l="1"/>
  <c r="E23" i="1" l="1"/>
  <c r="E22" i="1" l="1"/>
  <c r="E21" i="1" l="1"/>
  <c r="E20" i="1" l="1"/>
  <c r="E19" i="1" l="1"/>
  <c r="E18" i="1" l="1"/>
  <c r="E17" i="1" l="1"/>
  <c r="E16" i="1" l="1"/>
  <c r="E15" i="1" l="1"/>
  <c r="E14" i="1" l="1"/>
  <c r="E13" i="1" l="1"/>
  <c r="E12" i="1" l="1"/>
  <c r="E11" i="1" l="1"/>
  <c r="E10" i="1" l="1"/>
  <c r="E9" i="1" l="1"/>
  <c r="E8" i="1" l="1"/>
  <c r="E7" i="1" l="1"/>
  <c r="E6" i="1" l="1"/>
  <c r="E5" i="1" l="1"/>
  <c r="E4" i="1" l="1"/>
  <c r="E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Jörgen Blomvall</author>
  </authors>
  <commentList>
    <comment ref="N16" authorId="0" shapeId="0" xr:uid="{00000000-0006-0000-0100-000001000000}">
      <text>
        <r>
          <rPr>
            <b/>
            <sz val="9"/>
            <color indexed="81"/>
            <rFont val="Tahoma"/>
            <family val="2"/>
          </rPr>
          <t>To obtain the quasi coupon dates, the date moving convention is replaced to keep the quasi dates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Student@IEI</author>
  </authors>
  <commentList>
    <comment ref="O11" authorId="0" shapeId="0" xr:uid="{00000000-0006-0000-0200-000001000000}">
      <text>
        <r>
          <rPr>
            <sz val="9"/>
            <color indexed="81"/>
            <rFont val="Tahoma"/>
            <family val="2"/>
          </rPr>
          <t xml:space="preserve">Om det står en formeln som har 1- accrued() så betyder 1 i kupongen att man kommer vid nästa utbetalning få 100 % av kupongen. Eftersom att man då beräknar andel av kupongenbetalningen så kommer den att överens stämma med andelen av tiden som finns kvar. Det är tiden som är intressant här och det är därför som man låter det stå sm det gör. 
Den har alltså inget med att göra hur stor kupongen är egentligen. 
Är det så att formeln inte innehåller det betyder det att cellen är ändrar och då kan denna kommentar tas bort.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Jörgen Blomvall</author>
    <author>Student@IEI</author>
  </authors>
  <commentList>
    <comment ref="J2" authorId="0" shapeId="0" xr:uid="{00000000-0006-0000-0300-000001000000}">
      <text>
        <r>
          <rPr>
            <b/>
            <sz val="9"/>
            <color indexed="81"/>
            <rFont val="Tahoma"/>
            <family val="2"/>
          </rPr>
          <t>Jörgen Blomvall:</t>
        </r>
        <r>
          <rPr>
            <sz val="9"/>
            <color indexed="81"/>
            <rFont val="Tahoma"/>
            <family val="2"/>
          </rPr>
          <t xml:space="preserve">
Correct?</t>
        </r>
      </text>
    </comment>
    <comment ref="J8" authorId="0" shapeId="0" xr:uid="{00000000-0006-0000-0300-000002000000}">
      <text>
        <r>
          <rPr>
            <b/>
            <sz val="9"/>
            <color indexed="81"/>
            <rFont val="Tahoma"/>
            <family val="2"/>
          </rPr>
          <t>Jörgen Blomvall:</t>
        </r>
        <r>
          <rPr>
            <sz val="9"/>
            <color indexed="81"/>
            <rFont val="Tahoma"/>
            <family val="2"/>
          </rPr>
          <t xml:space="preserve">
 The average 3 month Canadian Bankers’ Acceptances bid side interest rate as supplied by nine market makers (removing the high and low rates) as at 10am EST time each Toronto Business day. </t>
        </r>
      </text>
    </comment>
    <comment ref="R23" authorId="1" shapeId="0" xr:uid="{00000000-0006-0000-0300-000003000000}">
      <text>
        <r>
          <rPr>
            <b/>
            <sz val="9"/>
            <color indexed="81"/>
            <rFont val="Tahoma"/>
            <family val="2"/>
          </rPr>
          <t>Student@IEI:</t>
        </r>
        <r>
          <rPr>
            <sz val="9"/>
            <color indexed="81"/>
            <rFont val="Tahoma"/>
            <family val="2"/>
          </rPr>
          <t xml:space="preserve">
Det kan vara en extra dag ibland läs teknisk dokumentation</t>
        </r>
      </text>
    </comment>
    <comment ref="Q28" authorId="1" shapeId="0" xr:uid="{00000000-0006-0000-0300-000004000000}">
      <text>
        <r>
          <rPr>
            <b/>
            <sz val="9"/>
            <color indexed="81"/>
            <rFont val="Tahoma"/>
            <family val="2"/>
          </rPr>
          <t>Student@IEI:</t>
        </r>
        <r>
          <rPr>
            <sz val="9"/>
            <color indexed="81"/>
            <rFont val="Tahoma"/>
            <family val="2"/>
          </rPr>
          <t xml:space="preserve">
Ungern har den på HUA140822D=</t>
        </r>
      </text>
    </comment>
  </commentList>
</comments>
</file>

<file path=xl/sharedStrings.xml><?xml version="1.0" encoding="utf-8"?>
<sst xmlns="http://schemas.openxmlformats.org/spreadsheetml/2006/main" count="1756" uniqueCount="1047">
  <si>
    <t>Interest rates</t>
  </si>
  <si>
    <t>Bill</t>
  </si>
  <si>
    <t>Bond</t>
  </si>
  <si>
    <t>FRA</t>
  </si>
  <si>
    <t>IRS</t>
  </si>
  <si>
    <t>Equity future</t>
  </si>
  <si>
    <t>Equity option</t>
  </si>
  <si>
    <t>RIC</t>
  </si>
  <si>
    <t>Time</t>
  </si>
  <si>
    <t>Start</t>
  </si>
  <si>
    <t>End</t>
  </si>
  <si>
    <t>Discount</t>
  </si>
  <si>
    <t>Underlying RIC</t>
  </si>
  <si>
    <t>.OMXS30</t>
  </si>
  <si>
    <t>Over Night</t>
  </si>
  <si>
    <t>Currency</t>
  </si>
  <si>
    <t>Price</t>
  </si>
  <si>
    <t>Tomorrow Next</t>
  </si>
  <si>
    <t>Basis</t>
  </si>
  <si>
    <t>1W</t>
  </si>
  <si>
    <t>Trade date</t>
  </si>
  <si>
    <t>Valuation date</t>
  </si>
  <si>
    <t>1M</t>
  </si>
  <si>
    <t>Spot date</t>
  </si>
  <si>
    <t>Maturity</t>
  </si>
  <si>
    <t>2M</t>
  </si>
  <si>
    <t>End date</t>
  </si>
  <si>
    <t>Start date</t>
  </si>
  <si>
    <t>Days</t>
  </si>
  <si>
    <t>Work days</t>
  </si>
  <si>
    <t>3M</t>
  </si>
  <si>
    <t>Bid</t>
  </si>
  <si>
    <t>NEW</t>
  </si>
  <si>
    <t>Strike</t>
  </si>
  <si>
    <t>6M</t>
  </si>
  <si>
    <t>Ask</t>
  </si>
  <si>
    <t>Put/Call</t>
  </si>
  <si>
    <t>9M</t>
  </si>
  <si>
    <t>Coupon</t>
  </si>
  <si>
    <t>1Y</t>
  </si>
  <si>
    <t>Bid disc</t>
  </si>
  <si>
    <t>Time to Start</t>
  </si>
  <si>
    <t>Structure</t>
  </si>
  <si>
    <t>1Y3M</t>
  </si>
  <si>
    <t>Ask disc</t>
  </si>
  <si>
    <t>Length of contract</t>
  </si>
  <si>
    <t>1Y6M</t>
  </si>
  <si>
    <t>Price type</t>
  </si>
  <si>
    <t/>
  </si>
  <si>
    <t>1Y9M</t>
  </si>
  <si>
    <t>2Y</t>
  </si>
  <si>
    <t>Existing</t>
  </si>
  <si>
    <t>2Y3M</t>
  </si>
  <si>
    <t>2Y6M</t>
  </si>
  <si>
    <t>Next coupon</t>
  </si>
  <si>
    <t>FIXED</t>
  </si>
  <si>
    <t>0#OMXS30:</t>
  </si>
  <si>
    <t>0#OMXS30*.ST++</t>
  </si>
  <si>
    <t>2Y9M</t>
  </si>
  <si>
    <t>Ex-div date</t>
  </si>
  <si>
    <t>3Y</t>
  </si>
  <si>
    <t>3Y3M</t>
  </si>
  <si>
    <t>3Y6M</t>
  </si>
  <si>
    <t>3Y9M</t>
  </si>
  <si>
    <t>4Y</t>
  </si>
  <si>
    <t>4Y3M</t>
  </si>
  <si>
    <t>4Y6M</t>
  </si>
  <si>
    <t>4Y9M</t>
  </si>
  <si>
    <t>5Y</t>
  </si>
  <si>
    <t>5Y3M</t>
  </si>
  <si>
    <t>5Y6M</t>
  </si>
  <si>
    <t>5Y9M</t>
  </si>
  <si>
    <t>6Y</t>
  </si>
  <si>
    <t>6Y3M</t>
  </si>
  <si>
    <t>6Y6M</t>
  </si>
  <si>
    <t>6Y9M</t>
  </si>
  <si>
    <t>7Y</t>
  </si>
  <si>
    <t>7Y3M</t>
  </si>
  <si>
    <t>7Y6M</t>
  </si>
  <si>
    <t>7Y9M</t>
  </si>
  <si>
    <t>8Y</t>
  </si>
  <si>
    <t>8Y3M</t>
  </si>
  <si>
    <t>8Y6M</t>
  </si>
  <si>
    <t>8Y9M</t>
  </si>
  <si>
    <t>9Y</t>
  </si>
  <si>
    <t>9Y3M</t>
  </si>
  <si>
    <t>9Y6M</t>
  </si>
  <si>
    <t>9Y9M</t>
  </si>
  <si>
    <t>10Y</t>
  </si>
  <si>
    <t>10Y3M</t>
  </si>
  <si>
    <t>10Y6M</t>
  </si>
  <si>
    <t>10Y9M</t>
  </si>
  <si>
    <t>11Y</t>
  </si>
  <si>
    <t>11Y3M</t>
  </si>
  <si>
    <t>11Y6M</t>
  </si>
  <si>
    <t>11Y9M</t>
  </si>
  <si>
    <t>12Y</t>
  </si>
  <si>
    <t>12Y3M</t>
  </si>
  <si>
    <t>12Y6M</t>
  </si>
  <si>
    <t>12Y9M</t>
  </si>
  <si>
    <t>13Y</t>
  </si>
  <si>
    <t>FLOAT</t>
  </si>
  <si>
    <t>13Y3M</t>
  </si>
  <si>
    <t>13Y6M</t>
  </si>
  <si>
    <t>13Y9M</t>
  </si>
  <si>
    <t>14Y</t>
  </si>
  <si>
    <t>14Y3M</t>
  </si>
  <si>
    <t>14Y6M</t>
  </si>
  <si>
    <t>14Y9M</t>
  </si>
  <si>
    <t>15Y</t>
  </si>
  <si>
    <t>15Y3M</t>
  </si>
  <si>
    <t>15Y6M</t>
  </si>
  <si>
    <t>15Y9M</t>
  </si>
  <si>
    <t>16Y</t>
  </si>
  <si>
    <t>16Y3M</t>
  </si>
  <si>
    <t>16Y6M</t>
  </si>
  <si>
    <t>16Y9M</t>
  </si>
  <si>
    <t>17Y</t>
  </si>
  <si>
    <t>17Y3M</t>
  </si>
  <si>
    <t>17Y6M</t>
  </si>
  <si>
    <t>17Y9M</t>
  </si>
  <si>
    <t>18Y</t>
  </si>
  <si>
    <t>18Y3M</t>
  </si>
  <si>
    <t>18Y6M</t>
  </si>
  <si>
    <t>18Y9M</t>
  </si>
  <si>
    <t>19Y</t>
  </si>
  <si>
    <t>19Y3M</t>
  </si>
  <si>
    <t>19Y6M</t>
  </si>
  <si>
    <t>19Y9M</t>
  </si>
  <si>
    <t>20Y</t>
  </si>
  <si>
    <t>20Y3M</t>
  </si>
  <si>
    <t>20Y6M</t>
  </si>
  <si>
    <t>20Y9M</t>
  </si>
  <si>
    <t>21Y</t>
  </si>
  <si>
    <t>21Y3M</t>
  </si>
  <si>
    <t>21Y6M</t>
  </si>
  <si>
    <t>21Y9M</t>
  </si>
  <si>
    <t>22Y</t>
  </si>
  <si>
    <t>22Y3M</t>
  </si>
  <si>
    <t>22Y6M</t>
  </si>
  <si>
    <t>22Y9M</t>
  </si>
  <si>
    <t>23Y</t>
  </si>
  <si>
    <t>23Y3M</t>
  </si>
  <si>
    <t>23Y6M</t>
  </si>
  <si>
    <t>23Y9M</t>
  </si>
  <si>
    <t>24Y</t>
  </si>
  <si>
    <t>24Y3M</t>
  </si>
  <si>
    <t>24Y6M</t>
  </si>
  <si>
    <t>All contract options</t>
  </si>
  <si>
    <t>24Y9M</t>
  </si>
  <si>
    <t>25Y</t>
  </si>
  <si>
    <t>25Y3M</t>
  </si>
  <si>
    <t>25Y6M</t>
  </si>
  <si>
    <t>25Y9M</t>
  </si>
  <si>
    <t>26Y</t>
  </si>
  <si>
    <t>26Y3M</t>
  </si>
  <si>
    <t>26Y6M</t>
  </si>
  <si>
    <t>26Y9M</t>
  </si>
  <si>
    <t>27Y</t>
  </si>
  <si>
    <t>27Y3M</t>
  </si>
  <si>
    <t>27Y6M</t>
  </si>
  <si>
    <t>27Y9M</t>
  </si>
  <si>
    <t>28Y</t>
  </si>
  <si>
    <t>28Y3M</t>
  </si>
  <si>
    <t>28Y6M</t>
  </si>
  <si>
    <t>28Y9M</t>
  </si>
  <si>
    <t>29Y</t>
  </si>
  <si>
    <t>29Y3M</t>
  </si>
  <si>
    <t>29Y6M</t>
  </si>
  <si>
    <t>29Y9M</t>
  </si>
  <si>
    <t>30Y</t>
  </si>
  <si>
    <t>30Y3M</t>
  </si>
  <si>
    <t>30Y6M</t>
  </si>
  <si>
    <t>Country</t>
  </si>
  <si>
    <t>2-letter code</t>
  </si>
  <si>
    <t>3-letter code</t>
  </si>
  <si>
    <t>IRS structure</t>
  </si>
  <si>
    <t>Day counting names in Bond structure</t>
  </si>
  <si>
    <t>Day counting convention</t>
  </si>
  <si>
    <t>FRA length of contract</t>
  </si>
  <si>
    <t>Australia</t>
  </si>
  <si>
    <t>AU</t>
  </si>
  <si>
    <t>AUS</t>
  </si>
  <si>
    <t>AUD</t>
  </si>
  <si>
    <t>AUD_QM3AB</t>
  </si>
  <si>
    <t>00</t>
  </si>
  <si>
    <t>30/360</t>
  </si>
  <si>
    <t>Start of the contract</t>
  </si>
  <si>
    <t>Length of the contract</t>
  </si>
  <si>
    <t>Austria</t>
  </si>
  <si>
    <t>AT</t>
  </si>
  <si>
    <t>AUT</t>
  </si>
  <si>
    <t>EUR</t>
  </si>
  <si>
    <t>EUR_AB6E</t>
  </si>
  <si>
    <t>05</t>
  </si>
  <si>
    <t>30/365</t>
  </si>
  <si>
    <t>Bangladesh</t>
  </si>
  <si>
    <t>BD</t>
  </si>
  <si>
    <t>BGD</t>
  </si>
  <si>
    <t>BDT</t>
  </si>
  <si>
    <t>FINNS EJ</t>
  </si>
  <si>
    <t>0A</t>
  </si>
  <si>
    <t>30/Act</t>
  </si>
  <si>
    <t>Belgium</t>
  </si>
  <si>
    <t>BE</t>
  </si>
  <si>
    <t>BEL</t>
  </si>
  <si>
    <t>00M</t>
  </si>
  <si>
    <t>Brazil</t>
  </si>
  <si>
    <t>BR</t>
  </si>
  <si>
    <t>BRA</t>
  </si>
  <si>
    <t>BRL</t>
  </si>
  <si>
    <t>BR_PRE</t>
  </si>
  <si>
    <t>A0</t>
  </si>
  <si>
    <t>Act/360</t>
  </si>
  <si>
    <t>Bulgaria</t>
  </si>
  <si>
    <t>BG</t>
  </si>
  <si>
    <t>BGR</t>
  </si>
  <si>
    <t>BGN</t>
  </si>
  <si>
    <t>BGN_AB3SO</t>
  </si>
  <si>
    <t>A25</t>
  </si>
  <si>
    <t>Act/366.25</t>
  </si>
  <si>
    <t>7M</t>
  </si>
  <si>
    <t>Canada</t>
  </si>
  <si>
    <t>CA</t>
  </si>
  <si>
    <t>CAN</t>
  </si>
  <si>
    <t>CAD</t>
  </si>
  <si>
    <t>CAD_SB3BA</t>
  </si>
  <si>
    <t>A4</t>
  </si>
  <si>
    <t>Act/364</t>
  </si>
  <si>
    <t>Chile</t>
  </si>
  <si>
    <t>CL</t>
  </si>
  <si>
    <t>CHL</t>
  </si>
  <si>
    <t>CLP</t>
  </si>
  <si>
    <t>CLP_AMAC</t>
  </si>
  <si>
    <t>A5</t>
  </si>
  <si>
    <t>Act/365</t>
  </si>
  <si>
    <t>12M</t>
  </si>
  <si>
    <t>China</t>
  </si>
  <si>
    <t>CN</t>
  </si>
  <si>
    <t>CHN</t>
  </si>
  <si>
    <t>CNY</t>
  </si>
  <si>
    <t>CNY_QM3S</t>
  </si>
  <si>
    <t>A5C</t>
  </si>
  <si>
    <t>Act/365C</t>
  </si>
  <si>
    <t>Croatia</t>
  </si>
  <si>
    <t>HR</t>
  </si>
  <si>
    <t>HRV</t>
  </si>
  <si>
    <t>HRK</t>
  </si>
  <si>
    <t>HRK_AB3Z</t>
  </si>
  <si>
    <t>A5L</t>
  </si>
  <si>
    <t>Ej implementerad</t>
  </si>
  <si>
    <t>Czech Republic</t>
  </si>
  <si>
    <t>CZ</t>
  </si>
  <si>
    <t>CZE</t>
  </si>
  <si>
    <t>CZK</t>
  </si>
  <si>
    <t>CZK_AM6PR</t>
  </si>
  <si>
    <t>A5P</t>
  </si>
  <si>
    <t>Cyprus</t>
  </si>
  <si>
    <t>CY</t>
  </si>
  <si>
    <t>CYP</t>
  </si>
  <si>
    <t>AA</t>
  </si>
  <si>
    <t>Act/Act</t>
  </si>
  <si>
    <t>Denmark</t>
  </si>
  <si>
    <t>DK</t>
  </si>
  <si>
    <t>DNK</t>
  </si>
  <si>
    <t>DKK</t>
  </si>
  <si>
    <t>DKK_AB6C</t>
  </si>
  <si>
    <t>AFB</t>
  </si>
  <si>
    <t>Egypt</t>
  </si>
  <si>
    <t>EG</t>
  </si>
  <si>
    <t>EGY</t>
  </si>
  <si>
    <t>EGP</t>
  </si>
  <si>
    <t>AIZ</t>
  </si>
  <si>
    <t>Estonia</t>
  </si>
  <si>
    <t>EE</t>
  </si>
  <si>
    <t>EST</t>
  </si>
  <si>
    <t>BB00</t>
  </si>
  <si>
    <t>Finland</t>
  </si>
  <si>
    <t>FI</t>
  </si>
  <si>
    <t>FIN</t>
  </si>
  <si>
    <t>BBA5</t>
  </si>
  <si>
    <t>France</t>
  </si>
  <si>
    <t>FR</t>
  </si>
  <si>
    <t>BBW252</t>
  </si>
  <si>
    <t>Germany</t>
  </si>
  <si>
    <t>DE</t>
  </si>
  <si>
    <t>DEU</t>
  </si>
  <si>
    <t>DISC</t>
  </si>
  <si>
    <t>Greece</t>
  </si>
  <si>
    <t>GR</t>
  </si>
  <si>
    <t>GRC</t>
  </si>
  <si>
    <t>E0</t>
  </si>
  <si>
    <t>30E/360</t>
  </si>
  <si>
    <t>Hong Kong</t>
  </si>
  <si>
    <t>HK</t>
  </si>
  <si>
    <t>HKG</t>
  </si>
  <si>
    <t>HKD</t>
  </si>
  <si>
    <t>HKD_QM3H</t>
  </si>
  <si>
    <t>IT</t>
  </si>
  <si>
    <t>Hungary</t>
  </si>
  <si>
    <t>HU</t>
  </si>
  <si>
    <t>HUN</t>
  </si>
  <si>
    <t>HUF</t>
  </si>
  <si>
    <t>HUF_AB6B</t>
  </si>
  <si>
    <t>IT2</t>
  </si>
  <si>
    <t>Iceland</t>
  </si>
  <si>
    <t>IS</t>
  </si>
  <si>
    <t>ISL</t>
  </si>
  <si>
    <t>ISK</t>
  </si>
  <si>
    <t>ISK_AM3R</t>
  </si>
  <si>
    <t>JAP</t>
  </si>
  <si>
    <t>India</t>
  </si>
  <si>
    <t>IN</t>
  </si>
  <si>
    <t>IND</t>
  </si>
  <si>
    <t>INR</t>
  </si>
  <si>
    <t>INR_SM6M</t>
  </si>
  <si>
    <t>MMA0</t>
  </si>
  <si>
    <t>Indonesia</t>
  </si>
  <si>
    <t>ID</t>
  </si>
  <si>
    <t>IDN</t>
  </si>
  <si>
    <t>IDR</t>
  </si>
  <si>
    <t>IDR_QM3J</t>
  </si>
  <si>
    <t>MMA5</t>
  </si>
  <si>
    <t>Ireland</t>
  </si>
  <si>
    <t>IE</t>
  </si>
  <si>
    <t>IRL</t>
  </si>
  <si>
    <t>MMNL5</t>
  </si>
  <si>
    <t>Israel</t>
  </si>
  <si>
    <t>IL</t>
  </si>
  <si>
    <t>ISR</t>
  </si>
  <si>
    <t>ILS</t>
  </si>
  <si>
    <t>ILS_AM3T</t>
  </si>
  <si>
    <t>NL0</t>
  </si>
  <si>
    <t>Italy</t>
  </si>
  <si>
    <t>ITA</t>
  </si>
  <si>
    <t>NL5</t>
  </si>
  <si>
    <t>Japan</t>
  </si>
  <si>
    <t>JP</t>
  </si>
  <si>
    <t>JPN</t>
  </si>
  <si>
    <t>JPY</t>
  </si>
  <si>
    <t>JPY_SB6L</t>
  </si>
  <si>
    <t>W252</t>
  </si>
  <si>
    <t>Korea</t>
  </si>
  <si>
    <t>KR</t>
  </si>
  <si>
    <t>KOR</t>
  </si>
  <si>
    <t>KRW</t>
  </si>
  <si>
    <t>KRW_QMCD</t>
  </si>
  <si>
    <t>JAPNGDEBENTURES</t>
  </si>
  <si>
    <t>Kuwait</t>
  </si>
  <si>
    <t>KW</t>
  </si>
  <si>
    <t>KWT</t>
  </si>
  <si>
    <t>KWD</t>
  </si>
  <si>
    <t>KWD_AM3K</t>
  </si>
  <si>
    <t>JAPNGNIT</t>
  </si>
  <si>
    <t>Latvia</t>
  </si>
  <si>
    <t>LV</t>
  </si>
  <si>
    <t>LVA</t>
  </si>
  <si>
    <t>MMAA</t>
  </si>
  <si>
    <t>Lebanon</t>
  </si>
  <si>
    <t>LB</t>
  </si>
  <si>
    <t>LBN</t>
  </si>
  <si>
    <t>LBP</t>
  </si>
  <si>
    <t>Lithuania</t>
  </si>
  <si>
    <t>LT</t>
  </si>
  <si>
    <t>LTU</t>
  </si>
  <si>
    <t>LTL</t>
  </si>
  <si>
    <t>Luxembourg</t>
  </si>
  <si>
    <t>LU</t>
  </si>
  <si>
    <t>LUX</t>
  </si>
  <si>
    <t>Malaysia</t>
  </si>
  <si>
    <t>MY</t>
  </si>
  <si>
    <t>MYS</t>
  </si>
  <si>
    <t>MYR</t>
  </si>
  <si>
    <t>MYR_QB3KL</t>
  </si>
  <si>
    <t>Mexico</t>
  </si>
  <si>
    <t>MX</t>
  </si>
  <si>
    <t>MEX</t>
  </si>
  <si>
    <t>MXN</t>
  </si>
  <si>
    <t>MXN_MB1T</t>
  </si>
  <si>
    <t>Netherlands</t>
  </si>
  <si>
    <t>NL</t>
  </si>
  <si>
    <t>NLD</t>
  </si>
  <si>
    <t>New Zealand</t>
  </si>
  <si>
    <t>NZ</t>
  </si>
  <si>
    <t>NZL</t>
  </si>
  <si>
    <t>NZD</t>
  </si>
  <si>
    <t>NZD_SM3NB</t>
  </si>
  <si>
    <t>Norway</t>
  </si>
  <si>
    <t>NO</t>
  </si>
  <si>
    <t>NOR</t>
  </si>
  <si>
    <t>NOK</t>
  </si>
  <si>
    <t>Pakistan</t>
  </si>
  <si>
    <t>PK</t>
  </si>
  <si>
    <t>PAK</t>
  </si>
  <si>
    <t>PKR</t>
  </si>
  <si>
    <t>PKR_SM6KI</t>
  </si>
  <si>
    <t>Peru</t>
  </si>
  <si>
    <t>PE</t>
  </si>
  <si>
    <t>PER</t>
  </si>
  <si>
    <t>PEN</t>
  </si>
  <si>
    <t>Philippines</t>
  </si>
  <si>
    <t>PH</t>
  </si>
  <si>
    <t>PHL</t>
  </si>
  <si>
    <t>PHP</t>
  </si>
  <si>
    <t>PHP_QB3P</t>
  </si>
  <si>
    <t>Poland</t>
  </si>
  <si>
    <t>PL</t>
  </si>
  <si>
    <t>POL</t>
  </si>
  <si>
    <t>PLN</t>
  </si>
  <si>
    <t>PLN_AB6W</t>
  </si>
  <si>
    <t>Portugal</t>
  </si>
  <si>
    <t>PT</t>
  </si>
  <si>
    <t>PRT</t>
  </si>
  <si>
    <t>Romania</t>
  </si>
  <si>
    <t>RO</t>
  </si>
  <si>
    <t>ROM</t>
  </si>
  <si>
    <t>RON</t>
  </si>
  <si>
    <t>Russia</t>
  </si>
  <si>
    <t>RU</t>
  </si>
  <si>
    <t>RUS</t>
  </si>
  <si>
    <t>RUB</t>
  </si>
  <si>
    <t>RUB_AM3MO</t>
  </si>
  <si>
    <t>Saudi Arabia</t>
  </si>
  <si>
    <t>SA</t>
  </si>
  <si>
    <t>SAU</t>
  </si>
  <si>
    <t>SAR</t>
  </si>
  <si>
    <t>SAR_AM3L</t>
  </si>
  <si>
    <t>Serbia</t>
  </si>
  <si>
    <t>RS</t>
  </si>
  <si>
    <t>SRB</t>
  </si>
  <si>
    <t>RSD</t>
  </si>
  <si>
    <t>Singapore</t>
  </si>
  <si>
    <t>SG</t>
  </si>
  <si>
    <t>SGP</t>
  </si>
  <si>
    <t>SGD</t>
  </si>
  <si>
    <t>SGD_SB6SI</t>
  </si>
  <si>
    <t>South Africa</t>
  </si>
  <si>
    <t>ZA</t>
  </si>
  <si>
    <t>ZAF</t>
  </si>
  <si>
    <t>ZAR</t>
  </si>
  <si>
    <t>ZAR_QB3ZB</t>
  </si>
  <si>
    <t>Spain</t>
  </si>
  <si>
    <t>ES</t>
  </si>
  <si>
    <t>ESP</t>
  </si>
  <si>
    <t>Sri Lanka</t>
  </si>
  <si>
    <t>LK</t>
  </si>
  <si>
    <t>LKA</t>
  </si>
  <si>
    <t>LKR</t>
  </si>
  <si>
    <t>Sweden</t>
  </si>
  <si>
    <t>SE</t>
  </si>
  <si>
    <t>SWE</t>
  </si>
  <si>
    <t>SEK</t>
  </si>
  <si>
    <t>SEK_AB3S</t>
  </si>
  <si>
    <t>Switzerland</t>
  </si>
  <si>
    <t>CH</t>
  </si>
  <si>
    <t>CHE</t>
  </si>
  <si>
    <t>CHF</t>
  </si>
  <si>
    <t>CHF_AB6L</t>
  </si>
  <si>
    <t>Taiwan</t>
  </si>
  <si>
    <t>TW</t>
  </si>
  <si>
    <t>TWN</t>
  </si>
  <si>
    <t>TWD</t>
  </si>
  <si>
    <t>TWD_QM3TC</t>
  </si>
  <si>
    <t>Thailand</t>
  </si>
  <si>
    <t>TH</t>
  </si>
  <si>
    <t>THA</t>
  </si>
  <si>
    <t>THB</t>
  </si>
  <si>
    <t>THB_SB6BK</t>
  </si>
  <si>
    <t>Turkey</t>
  </si>
  <si>
    <t>TR</t>
  </si>
  <si>
    <t>TUR</t>
  </si>
  <si>
    <t>TRY</t>
  </si>
  <si>
    <t>TRY_AM3L</t>
  </si>
  <si>
    <t>Ukraine</t>
  </si>
  <si>
    <t>UA</t>
  </si>
  <si>
    <t>UKR</t>
  </si>
  <si>
    <t>UAH</t>
  </si>
  <si>
    <t>United Arab Emirates</t>
  </si>
  <si>
    <t>AE</t>
  </si>
  <si>
    <t>ARE</t>
  </si>
  <si>
    <t>AED</t>
  </si>
  <si>
    <t>AED_AM3A</t>
  </si>
  <si>
    <t>United Kingdom</t>
  </si>
  <si>
    <t>GB</t>
  </si>
  <si>
    <t>GBR</t>
  </si>
  <si>
    <t>GBP</t>
  </si>
  <si>
    <t>GBP_SB6L</t>
  </si>
  <si>
    <t>United States</t>
  </si>
  <si>
    <t>US</t>
  </si>
  <si>
    <t>USA</t>
  </si>
  <si>
    <t>USD</t>
  </si>
  <si>
    <t>USD_AM3L</t>
  </si>
  <si>
    <t>Vietnam</t>
  </si>
  <si>
    <t>VN</t>
  </si>
  <si>
    <t>VNM</t>
  </si>
  <si>
    <t>VND</t>
  </si>
  <si>
    <t>VND_QM3VN</t>
  </si>
  <si>
    <t>Nominal</t>
  </si>
  <si>
    <t>Country code</t>
  </si>
  <si>
    <t># Bill RICs</t>
  </si>
  <si>
    <t># Bond RICs</t>
  </si>
  <si>
    <t>Maturity date</t>
  </si>
  <si>
    <t>Basis in bond structure</t>
  </si>
  <si>
    <t>Bond structure</t>
  </si>
  <si>
    <t>Bid price</t>
  </si>
  <si>
    <t>Ask price</t>
  </si>
  <si>
    <t>Bid yield</t>
  </si>
  <si>
    <t>Ask yield</t>
  </si>
  <si>
    <t>Bill structure</t>
  </si>
  <si>
    <t>Equity index</t>
  </si>
  <si>
    <t>Index future</t>
  </si>
  <si>
    <t>Index option</t>
  </si>
  <si>
    <t>Gilts!</t>
  </si>
  <si>
    <t>US30YTWI=TWEB</t>
  </si>
  <si>
    <t>Frequency</t>
  </si>
  <si>
    <t>Previous Coupon Date:</t>
  </si>
  <si>
    <t>Next Coupon Date:</t>
  </si>
  <si>
    <t>Ex-div Date:</t>
  </si>
  <si>
    <t>Future CF Date</t>
  </si>
  <si>
    <t>Remaining coupons</t>
  </si>
  <si>
    <t>All coupons</t>
  </si>
  <si>
    <t>Mod bond structure</t>
  </si>
  <si>
    <t>Dated in bond structure</t>
  </si>
  <si>
    <t>Issued in bond structure</t>
  </si>
  <si>
    <t>Dated date</t>
  </si>
  <si>
    <t>Issue date</t>
  </si>
  <si>
    <t>Issue Date</t>
  </si>
  <si>
    <t>Previous coupon</t>
  </si>
  <si>
    <t>Bond structure FRQ</t>
  </si>
  <si>
    <t>Bond structure Nominal</t>
  </si>
  <si>
    <t>0#GDAX*.EX</t>
  </si>
  <si>
    <t>0#FDX:</t>
  </si>
  <si>
    <t>.GDAXI</t>
  </si>
  <si>
    <t>0#FSMI:</t>
  </si>
  <si>
    <t>0#OSMI*.EX</t>
  </si>
  <si>
    <t>.SSMI</t>
  </si>
  <si>
    <t>0#OMXS30*.ST</t>
  </si>
  <si>
    <t>0#AXJO*.AX</t>
  </si>
  <si>
    <t>0#YAP:</t>
  </si>
  <si>
    <t>.AXJO</t>
  </si>
  <si>
    <t>0#HCEI:</t>
  </si>
  <si>
    <t>0#HCEI*.HF</t>
  </si>
  <si>
    <t>.HSCE</t>
  </si>
  <si>
    <t>0#JNI:</t>
  </si>
  <si>
    <t>0#JNI*.OS</t>
  </si>
  <si>
    <t>.N225</t>
  </si>
  <si>
    <t>0#KS:</t>
  </si>
  <si>
    <t>0#KS200*.KS</t>
  </si>
  <si>
    <t>.KS200</t>
  </si>
  <si>
    <t>0#NIF:</t>
  </si>
  <si>
    <t>0#NIF*.NS</t>
  </si>
  <si>
    <t>.NSEI</t>
  </si>
  <si>
    <t>0#S50:</t>
  </si>
  <si>
    <t>0#S50*.FX</t>
  </si>
  <si>
    <t>.SET50</t>
  </si>
  <si>
    <t>0#AEX:</t>
  </si>
  <si>
    <t>0#AEX*.E</t>
  </si>
  <si>
    <t>.AEX</t>
  </si>
  <si>
    <t>0#FFI:</t>
  </si>
  <si>
    <t>0#LFE*.L</t>
  </si>
  <si>
    <t>.FTSE</t>
  </si>
  <si>
    <t>0#TLVJ*.TA</t>
  </si>
  <si>
    <t>.TA25</t>
  </si>
  <si>
    <t>0#FATXA:</t>
  </si>
  <si>
    <t>0#FATXA*.EX</t>
  </si>
  <si>
    <t>.ATX</t>
  </si>
  <si>
    <t>0#MFXI:</t>
  </si>
  <si>
    <t>0#MFMI*.i</t>
  </si>
  <si>
    <t>.IBEX</t>
  </si>
  <si>
    <t>0#ES:</t>
  </si>
  <si>
    <t>0#SPX*.U</t>
  </si>
  <si>
    <t>.SPX</t>
  </si>
  <si>
    <t>.BFX</t>
  </si>
  <si>
    <t>0#BFX:</t>
  </si>
  <si>
    <t>Right click on index, select Related -&gt; Option Watch</t>
  </si>
  <si>
    <t>.OMXH25</t>
  </si>
  <si>
    <t>0#OMXH25:</t>
  </si>
  <si>
    <t>.FCHI</t>
  </si>
  <si>
    <t>0#FCE:</t>
  </si>
  <si>
    <t>.OBX</t>
  </si>
  <si>
    <t>0#OBX:</t>
  </si>
  <si>
    <t>.SPTSE</t>
  </si>
  <si>
    <t>.WIG20</t>
  </si>
  <si>
    <t>0#FW20:</t>
  </si>
  <si>
    <t>0#W20*.WA</t>
  </si>
  <si>
    <t>Type of data</t>
  </si>
  <si>
    <t>Day count basis, Fixed</t>
  </si>
  <si>
    <t>Day count basis, Float</t>
  </si>
  <si>
    <t>NOK_AB6O</t>
  </si>
  <si>
    <t>IRS floating rate</t>
  </si>
  <si>
    <t>STISEK3MDFI=</t>
  </si>
  <si>
    <t>GBP6MFSR=</t>
  </si>
  <si>
    <t>EURIBOR6MD=</t>
  </si>
  <si>
    <t>OINOK6MD=</t>
  </si>
  <si>
    <t>USD3MFSR=</t>
  </si>
  <si>
    <t>CA3MBAFIX=</t>
  </si>
  <si>
    <t>RON_AM3R</t>
  </si>
  <si>
    <t>Next</t>
  </si>
  <si>
    <t>Floating rate</t>
  </si>
  <si>
    <t>JPY6MFSR=</t>
  </si>
  <si>
    <t>JIIDR3MD=BIIA</t>
  </si>
  <si>
    <t>CHF6MFSR=</t>
  </si>
  <si>
    <t>TW90DCP=</t>
  </si>
  <si>
    <t>RORON6MD=</t>
  </si>
  <si>
    <t>INRMIFOR6M=RR</t>
  </si>
  <si>
    <t>HIHKD3MD=</t>
  </si>
  <si>
    <t>THB6MFIX=TH</t>
  </si>
  <si>
    <t>PRICZK6MD=</t>
  </si>
  <si>
    <t>CIDKK6MD=</t>
  </si>
  <si>
    <t>SASAR3MD=</t>
  </si>
  <si>
    <t>MOSPRIME3MD=</t>
  </si>
  <si>
    <t>KRCD3M=KFIA</t>
  </si>
  <si>
    <t>OMXS30Z8</t>
  </si>
  <si>
    <t>OMXS30Z9</t>
  </si>
  <si>
    <t>OMXS30Z0</t>
  </si>
  <si>
    <t>High</t>
  </si>
  <si>
    <t xml:space="preserve">      </t>
  </si>
  <si>
    <t xml:space="preserve">1Y    </t>
  </si>
  <si>
    <t xml:space="preserve">18M   </t>
  </si>
  <si>
    <t xml:space="preserve">2Y    </t>
  </si>
  <si>
    <t xml:space="preserve">3Y    </t>
  </si>
  <si>
    <t xml:space="preserve">4Y    </t>
  </si>
  <si>
    <t xml:space="preserve">5Y    </t>
  </si>
  <si>
    <t xml:space="preserve">6Y    </t>
  </si>
  <si>
    <t xml:space="preserve">7Y    </t>
  </si>
  <si>
    <t xml:space="preserve">8Y    </t>
  </si>
  <si>
    <t xml:space="preserve">9Y    </t>
  </si>
  <si>
    <t xml:space="preserve">10Y   </t>
  </si>
  <si>
    <t xml:space="preserve">12Y   </t>
  </si>
  <si>
    <t xml:space="preserve">15Y   </t>
  </si>
  <si>
    <t xml:space="preserve">20Y   </t>
  </si>
  <si>
    <t xml:space="preserve">30Y   </t>
  </si>
  <si>
    <t>NZ3MT=RR</t>
  </si>
  <si>
    <t>AU3MEBBR=</t>
  </si>
  <si>
    <t>OMXS30Z1</t>
  </si>
  <si>
    <t>OMXS30H9</t>
  </si>
  <si>
    <t>OMXS30Z2</t>
  </si>
  <si>
    <t>.OMXC25CAP</t>
  </si>
  <si>
    <t>0#OMXC25CAP:</t>
  </si>
  <si>
    <t>0#OMXC25CAP*.CO</t>
  </si>
  <si>
    <t>OMXS30M9</t>
  </si>
  <si>
    <t>OMXS30U9</t>
  </si>
  <si>
    <t>OMXS30H0</t>
  </si>
  <si>
    <t>OIS structure</t>
  </si>
  <si>
    <t>OIS</t>
  </si>
  <si>
    <t>OIS floating rate</t>
  </si>
  <si>
    <t>OIS_AUDRBA</t>
  </si>
  <si>
    <t>AUDOIS</t>
  </si>
  <si>
    <t>AUCASH=RBAA</t>
  </si>
  <si>
    <t>OIS_EONIA</t>
  </si>
  <si>
    <t>EUROIS</t>
  </si>
  <si>
    <t>EONIA=</t>
  </si>
  <si>
    <t>OIS_CADCORRA</t>
  </si>
  <si>
    <t>CADOIS</t>
  </si>
  <si>
    <t>BOCREPOAVG=</t>
  </si>
  <si>
    <t>OIS_CLPOIS</t>
  </si>
  <si>
    <t>CLPOIS</t>
  </si>
  <si>
    <t>CLPPCONDP=</t>
  </si>
  <si>
    <t>OIS_CNYAMOS</t>
  </si>
  <si>
    <t>OIS_CZEONIA</t>
  </si>
  <si>
    <t>CZKOIS</t>
  </si>
  <si>
    <t>CZEONIA=</t>
  </si>
  <si>
    <t>OIS_DKKTN</t>
  </si>
  <si>
    <t>DKKTNS</t>
  </si>
  <si>
    <t>DKKAMTNC=</t>
  </si>
  <si>
    <t>OIS_HONIX</t>
  </si>
  <si>
    <t>HKDOIS=PREA</t>
  </si>
  <si>
    <t>HKDOIS=</t>
  </si>
  <si>
    <t>OIS_HUFONIA</t>
  </si>
  <si>
    <t>HUFONIA=</t>
  </si>
  <si>
    <t>OIS_MIOIS</t>
  </si>
  <si>
    <t>INROIS</t>
  </si>
  <si>
    <t>INRONDFIX=FBIL</t>
  </si>
  <si>
    <t>OIS_JPYONMU</t>
  </si>
  <si>
    <t>JPYOIS</t>
  </si>
  <si>
    <t>JPONMU=RR</t>
  </si>
  <si>
    <t>KRCALL=BOKK</t>
  </si>
  <si>
    <t>OIS_MYRONAR</t>
  </si>
  <si>
    <t>MYROIS=TNAS</t>
  </si>
  <si>
    <t>MYRONAR=BNEK</t>
  </si>
  <si>
    <t>OIS_NZDRBNZ</t>
  </si>
  <si>
    <t>NZDOIS</t>
  </si>
  <si>
    <t>PENOIS</t>
  </si>
  <si>
    <t>OIS_POLONIA</t>
  </si>
  <si>
    <t>PLNOIS</t>
  </si>
  <si>
    <t>POLONIA=</t>
  </si>
  <si>
    <t>RUBOIS</t>
  </si>
  <si>
    <t>RUONIA=</t>
  </si>
  <si>
    <t>OIS_SGDONDFIX</t>
  </si>
  <si>
    <t>SGDOIS</t>
  </si>
  <si>
    <t>SGDTRDONF=ABSG</t>
  </si>
  <si>
    <t>OIS_SEKSTI</t>
  </si>
  <si>
    <t>SEKTNS</t>
  </si>
  <si>
    <t>STISEKTNDFI=</t>
  </si>
  <si>
    <t>OIS_CHFTOIS</t>
  </si>
  <si>
    <t>CHFOIS</t>
  </si>
  <si>
    <t>SARON.S</t>
  </si>
  <si>
    <t>OIS_TRYTRRP</t>
  </si>
  <si>
    <t>OIS_SONIA</t>
  </si>
  <si>
    <t>GBPOIS</t>
  </si>
  <si>
    <t>SONIAOSR=</t>
  </si>
  <si>
    <t>OIS_FFER</t>
  </si>
  <si>
    <t>USDOIS</t>
  </si>
  <si>
    <t>USONFFE=</t>
  </si>
  <si>
    <t>OMXS30F9</t>
  </si>
  <si>
    <t>OMXS30G9</t>
  </si>
  <si>
    <t>DE110466=</t>
  </si>
  <si>
    <t>DE113775=</t>
  </si>
  <si>
    <t>DE110467=</t>
  </si>
  <si>
    <t>DE113776=</t>
  </si>
  <si>
    <t>DE110468=</t>
  </si>
  <si>
    <t>DE110469=</t>
  </si>
  <si>
    <t>DE110470=</t>
  </si>
  <si>
    <t>DE110471=</t>
  </si>
  <si>
    <t>DE110472=</t>
  </si>
  <si>
    <t>DE110473=</t>
  </si>
  <si>
    <t>DE110474=</t>
  </si>
  <si>
    <t>SWAP/1</t>
  </si>
  <si>
    <t>EURIRSINFO</t>
  </si>
  <si>
    <t>EURSIRS1=!</t>
  </si>
  <si>
    <t>EURAB6E1Y=</t>
  </si>
  <si>
    <t>EURAB6E18M=</t>
  </si>
  <si>
    <t>EURAB6E2Y=</t>
  </si>
  <si>
    <t>EURAB6E3Y=</t>
  </si>
  <si>
    <t>EURAB6E4Y=</t>
  </si>
  <si>
    <t>EURAB6E5Y=</t>
  </si>
  <si>
    <t>EURAB6E6Y=</t>
  </si>
  <si>
    <t>EURAB6E7Y=</t>
  </si>
  <si>
    <t>EURAB6E8Y=</t>
  </si>
  <si>
    <t>EURAB6E9Y=</t>
  </si>
  <si>
    <t>EURAB6E10Y=</t>
  </si>
  <si>
    <t>EURAB6E11Y=</t>
  </si>
  <si>
    <t xml:space="preserve">11Y   </t>
  </si>
  <si>
    <t>EURAB6E12Y=</t>
  </si>
  <si>
    <t>EURAB6E13Y=</t>
  </si>
  <si>
    <t xml:space="preserve">13Y   </t>
  </si>
  <si>
    <t>EURAB6E14Y=</t>
  </si>
  <si>
    <t xml:space="preserve">14Y   </t>
  </si>
  <si>
    <t>EURAB6E15Y=</t>
  </si>
  <si>
    <t>EURAB6E16Y=</t>
  </si>
  <si>
    <t xml:space="preserve">16Y   </t>
  </si>
  <si>
    <t>EURAB6E17Y=</t>
  </si>
  <si>
    <t xml:space="preserve">17Y   </t>
  </si>
  <si>
    <t>EURAB6E18Y=</t>
  </si>
  <si>
    <t xml:space="preserve">18Y   </t>
  </si>
  <si>
    <t>EURAB6E19Y=</t>
  </si>
  <si>
    <t xml:space="preserve">19Y   </t>
  </si>
  <si>
    <t>EURAB6E20Y=</t>
  </si>
  <si>
    <t>EURAB6E21Y=</t>
  </si>
  <si>
    <t xml:space="preserve">21Y   </t>
  </si>
  <si>
    <t>EURAB6E22Y=</t>
  </si>
  <si>
    <t xml:space="preserve">22Y   </t>
  </si>
  <si>
    <t>EURAB6E23Y=</t>
  </si>
  <si>
    <t xml:space="preserve">23Y   </t>
  </si>
  <si>
    <t>EURAB6E24Y=</t>
  </si>
  <si>
    <t xml:space="preserve">24Y   </t>
  </si>
  <si>
    <t>EURAB6E25Y=</t>
  </si>
  <si>
    <t xml:space="preserve">25Y   </t>
  </si>
  <si>
    <t>EURAB6E26Y=</t>
  </si>
  <si>
    <t xml:space="preserve">26Y   </t>
  </si>
  <si>
    <t>EURAB6E27Y=</t>
  </si>
  <si>
    <t xml:space="preserve">27Y   </t>
  </si>
  <si>
    <t>EURAB6E28Y=</t>
  </si>
  <si>
    <t xml:space="preserve">28Y   </t>
  </si>
  <si>
    <t>EURAB6E29Y=</t>
  </si>
  <si>
    <t xml:space="preserve">29Y   </t>
  </si>
  <si>
    <t>EURAB6E30Y=</t>
  </si>
  <si>
    <t>EURAB6E40Y=</t>
  </si>
  <si>
    <t xml:space="preserve">40Y   </t>
  </si>
  <si>
    <t>EURAB6E50Y=</t>
  </si>
  <si>
    <t xml:space="preserve">50Y   </t>
  </si>
  <si>
    <t>DE113537=</t>
  </si>
  <si>
    <t>DE114168=</t>
  </si>
  <si>
    <t>DE114169=</t>
  </si>
  <si>
    <t>DE113538=</t>
  </si>
  <si>
    <t>DE114170=</t>
  </si>
  <si>
    <t>DE113539=</t>
  </si>
  <si>
    <t>DE114171=</t>
  </si>
  <si>
    <t>DE113540=</t>
  </si>
  <si>
    <t>DE113541=</t>
  </si>
  <si>
    <t>DE114172=</t>
  </si>
  <si>
    <t>DE113542=</t>
  </si>
  <si>
    <t>DE114173=</t>
  </si>
  <si>
    <t>DE113544=</t>
  </si>
  <si>
    <t>DE113545=</t>
  </si>
  <si>
    <t>DE114174=</t>
  </si>
  <si>
    <t>DE113546=</t>
  </si>
  <si>
    <t>DE114175=</t>
  </si>
  <si>
    <t>DE113547=</t>
  </si>
  <si>
    <t>DE113549=</t>
  </si>
  <si>
    <t>DE114176=</t>
  </si>
  <si>
    <t>DE110230=</t>
  </si>
  <si>
    <t>DE114177=</t>
  </si>
  <si>
    <t>DE110231=</t>
  </si>
  <si>
    <t>DE110232=</t>
  </si>
  <si>
    <t>DE114178=</t>
  </si>
  <si>
    <t>DE113492=</t>
  </si>
  <si>
    <t>DE110233=</t>
  </si>
  <si>
    <t>DE110235=</t>
  </si>
  <si>
    <t>DE110236=</t>
  </si>
  <si>
    <t>DE110237=</t>
  </si>
  <si>
    <t>DE110238=</t>
  </si>
  <si>
    <t>DE110239=</t>
  </si>
  <si>
    <t>DE110240=</t>
  </si>
  <si>
    <t>DE110241=</t>
  </si>
  <si>
    <t>DE113504=</t>
  </si>
  <si>
    <t>DE110242=</t>
  </si>
  <si>
    <t>DE113506=</t>
  </si>
  <si>
    <t>DE110244=</t>
  </si>
  <si>
    <t>DE113508=</t>
  </si>
  <si>
    <t>DE110245=</t>
  </si>
  <si>
    <t>DE113514=</t>
  </si>
  <si>
    <t>DE113517=</t>
  </si>
  <si>
    <t>DE113522=</t>
  </si>
  <si>
    <t>DE113527=</t>
  </si>
  <si>
    <t>DE113532=</t>
  </si>
  <si>
    <t>DE113536=</t>
  </si>
  <si>
    <t>DE113543=</t>
  </si>
  <si>
    <t>DE113548=</t>
  </si>
  <si>
    <t>DE110234=</t>
  </si>
  <si>
    <t>DE110243=</t>
  </si>
  <si>
    <t xml:space="preserve">ACC:AA CCM:BBAA CFADJ:NO CLDR:EMU_FI DATED:11NOV2016 DMC:F EMC:S FRCD:14DEC2017 FRQ:1 ISSUE:11NOV2016 NOTIONAL:1 PX:C PXRND:1E-5:NEAR REFDATE:MATURITY RP:1 SETTLE:2WD XD:NO </t>
  </si>
  <si>
    <t>K</t>
  </si>
  <si>
    <t>n</t>
  </si>
  <si>
    <t>nom</t>
  </si>
  <si>
    <t xml:space="preserve">ACC:AA CCM:BBAA CFADJ:NO CLDR:EMU_FI DATED:17JAN2014 DMC:F EMC:S FRCD:22FEB2015 FRQ:1 ISSUE:17JAN2014 NOTIONAL:1 PX:C PXRND:1E-5:NEAR REFDATE:MATURITY RP:1 SETTLE:2WD XD:NO </t>
  </si>
  <si>
    <t>Duration</t>
  </si>
  <si>
    <t>Convex</t>
  </si>
  <si>
    <t>Mod duration</t>
  </si>
  <si>
    <t>Nom</t>
  </si>
  <si>
    <t>Tid</t>
  </si>
  <si>
    <t>f(T1,T2)</t>
  </si>
  <si>
    <t>f(T2,T3)</t>
  </si>
  <si>
    <t>DE114168</t>
  </si>
  <si>
    <t>DE110466</t>
  </si>
  <si>
    <t>Spot rate</t>
  </si>
  <si>
    <t>Yield</t>
  </si>
  <si>
    <t>Value, floating</t>
  </si>
  <si>
    <t>Value, fixed</t>
  </si>
  <si>
    <t>Value, Swap</t>
  </si>
  <si>
    <t>Tp (ACT/ACT)</t>
  </si>
  <si>
    <t>Discount rate, float</t>
  </si>
  <si>
    <t>Date first coupon, float</t>
  </si>
  <si>
    <t>Time to first coupon, float</t>
  </si>
  <si>
    <t>Zero Yield Close</t>
  </si>
  <si>
    <t>Timestamp</t>
  </si>
  <si>
    <t>Tp</t>
  </si>
  <si>
    <t>EUR3YZ=R</t>
  </si>
  <si>
    <t>EUR3MZ=R</t>
  </si>
  <si>
    <t>Last Quote Close</t>
  </si>
  <si>
    <t>EURIBOR 3M rate, 2018-10-25</t>
  </si>
  <si>
    <t>EUR 3Y rate, 2018-10-25</t>
  </si>
  <si>
    <t>Terminsräntor</t>
  </si>
  <si>
    <t>Kontinuerliga räntor</t>
  </si>
  <si>
    <t>P</t>
  </si>
  <si>
    <t>Snapshot</t>
  </si>
  <si>
    <t>P changed exact</t>
  </si>
  <si>
    <t>Delta P approx</t>
  </si>
  <si>
    <t>Delta P exact</t>
  </si>
  <si>
    <t>P changed approx</t>
  </si>
  <si>
    <t>DE113777=</t>
  </si>
  <si>
    <t>P dirty</t>
  </si>
  <si>
    <t>P clean</t>
  </si>
  <si>
    <t>EURONZ=R</t>
  </si>
  <si>
    <t>EURTNZ=R</t>
  </si>
  <si>
    <t>EUR1WZ=R</t>
  </si>
  <si>
    <t>EUR1MZ=R</t>
  </si>
  <si>
    <t>EUR2MZ=R</t>
  </si>
  <si>
    <t>EUR6MZ=R</t>
  </si>
  <si>
    <t>EUR9MZ=R</t>
  </si>
  <si>
    <t>EURIRS</t>
  </si>
  <si>
    <t>EUR1YZ=R</t>
  </si>
  <si>
    <t>EUR1Y3MZ=R</t>
  </si>
  <si>
    <t>PXC</t>
  </si>
  <si>
    <t>EUR1Y6MZ=R</t>
  </si>
  <si>
    <t>PAID:FIXED LBOTH SETTLE:2WD DMC:M EMC:S CFADJ:YES REFDATE:MATURITY CLDR:EMU PDELAY:0 LFIXED FRQ:1 CCM:BB00 LFLOAT FRQ:2 CCM:MMA0</t>
  </si>
  <si>
    <t>EUR1Y9MZ=R</t>
  </si>
  <si>
    <t>Updated at 10:26:36</t>
  </si>
  <si>
    <t>DCB:00</t>
  </si>
  <si>
    <t>EUR2YZ=R</t>
  </si>
  <si>
    <t>DCB:A0</t>
  </si>
  <si>
    <t>EUR2Y3MZ=R</t>
  </si>
  <si>
    <t xml:space="preserve">ACC:AA CCM:BBAA CFADJ:NO CLDR:EMU_FI DATED:17JAN2014 DMC:NONE EMC:S FRCD:22FEB2015 FRQ:1 ISSUE:17JAN2014 NOTIONAL:1 PX:C PXRND:1E-5:NEAR REFDATE:MATURITY RP:1 SETTLE:2WD XD:NO </t>
  </si>
  <si>
    <t>EUR2Y6MZ=R</t>
  </si>
  <si>
    <t>EUR2Y9MZ=R</t>
  </si>
  <si>
    <t>EUR3Y3MZ=R</t>
  </si>
  <si>
    <t>EUR3Y6MZ=R</t>
  </si>
  <si>
    <t>EUR3Y9MZ=R</t>
  </si>
  <si>
    <t>EUR4YZ=R</t>
  </si>
  <si>
    <t>EUR4Y3MZ=R</t>
  </si>
  <si>
    <t>EUR4Y6MZ=R</t>
  </si>
  <si>
    <t>EUR4Y9MZ=R</t>
  </si>
  <si>
    <t>EUR5YZ=R</t>
  </si>
  <si>
    <t>EUR5Y3MZ=R</t>
  </si>
  <si>
    <t>EUR5Y6MZ=R</t>
  </si>
  <si>
    <t>EUR5Y9MZ=R</t>
  </si>
  <si>
    <t>EUR6YZ=R</t>
  </si>
  <si>
    <t>EUR6Y3MZ=R</t>
  </si>
  <si>
    <t>EUR6Y6MZ=R</t>
  </si>
  <si>
    <t>EUR6Y9MZ=R</t>
  </si>
  <si>
    <t>EUR7YZ=R</t>
  </si>
  <si>
    <t>EUR7Y3MZ=R</t>
  </si>
  <si>
    <t>0#DETSYS=</t>
  </si>
  <si>
    <t>0#DETSY=</t>
  </si>
  <si>
    <t>EUR7Y6MZ=R</t>
  </si>
  <si>
    <t>EUR7Y9MZ=R</t>
  </si>
  <si>
    <t>EUR8YZ=R</t>
  </si>
  <si>
    <t>EUR8Y3MZ=R</t>
  </si>
  <si>
    <t>EUR8Y6MZ=R</t>
  </si>
  <si>
    <t>EUR8Y9MZ=R</t>
  </si>
  <si>
    <t>EUR9YZ=R</t>
  </si>
  <si>
    <t>EUR9Y3MZ=R</t>
  </si>
  <si>
    <t>EUR9Y6MZ=R</t>
  </si>
  <si>
    <t>EUR9Y9MZ=R</t>
  </si>
  <si>
    <t>EUR10YZ=R</t>
  </si>
  <si>
    <t>EUR10Y3MZ=R</t>
  </si>
  <si>
    <t>#N/A *The record could not be found</t>
  </si>
  <si>
    <t>EUR10Y6MZ=R</t>
  </si>
  <si>
    <t>EUR10Y9MZ=R</t>
  </si>
  <si>
    <t>EUR11YZ=R</t>
  </si>
  <si>
    <t>EUR11Y3MZ=R</t>
  </si>
  <si>
    <t>EUR11Y6MZ=R</t>
  </si>
  <si>
    <t>EUR11Y9MZ=R</t>
  </si>
  <si>
    <t>EUR12YZ=R</t>
  </si>
  <si>
    <t>EUR12Y3MZ=R</t>
  </si>
  <si>
    <t>EUR12Y6MZ=R</t>
  </si>
  <si>
    <t>EUR12Y9MZ=R</t>
  </si>
  <si>
    <t>EUR13YZ=R</t>
  </si>
  <si>
    <t>EUR13Y3MZ=R</t>
  </si>
  <si>
    <t>EUR13Y6MZ=R</t>
  </si>
  <si>
    <t>EUR13Y9MZ=R</t>
  </si>
  <si>
    <t>EUR14YZ=R</t>
  </si>
  <si>
    <t>EUR14Y3MZ=R</t>
  </si>
  <si>
    <t>EUR14Y6MZ=R</t>
  </si>
  <si>
    <t>EUR14Y9MZ=R</t>
  </si>
  <si>
    <t>EUR15YZ=R</t>
  </si>
  <si>
    <t>EUR15Y3MZ=R</t>
  </si>
  <si>
    <t>EUR15Y6MZ=R</t>
  </si>
  <si>
    <t>EUR15Y9MZ=R</t>
  </si>
  <si>
    <t>EUR16YZ=R</t>
  </si>
  <si>
    <t>EUR16Y3MZ=R</t>
  </si>
  <si>
    <t>EUR16Y6MZ=R</t>
  </si>
  <si>
    <t>EUR16Y9MZ=R</t>
  </si>
  <si>
    <t>EUR17YZ=R</t>
  </si>
  <si>
    <t>EUR17Y3MZ=R</t>
  </si>
  <si>
    <t>EUR17Y6MZ=R</t>
  </si>
  <si>
    <t>EUR17Y9MZ=R</t>
  </si>
  <si>
    <t>EUR18YZ=R</t>
  </si>
  <si>
    <t>EUR18Y3MZ=R</t>
  </si>
  <si>
    <t>EUR18Y6MZ=R</t>
  </si>
  <si>
    <t>EUR18Y9MZ=R</t>
  </si>
  <si>
    <t>EUR19YZ=R</t>
  </si>
  <si>
    <t>EUR19Y3MZ=R</t>
  </si>
  <si>
    <t>EUR19Y6MZ=R</t>
  </si>
  <si>
    <t>EUR19Y9MZ=R</t>
  </si>
  <si>
    <t>EUR20YZ=R</t>
  </si>
  <si>
    <t>EUR20Y3MZ=R</t>
  </si>
  <si>
    <t>EUR20Y6MZ=R</t>
  </si>
  <si>
    <t>EUR20Y9MZ=R</t>
  </si>
  <si>
    <t>EUR21YZ=R</t>
  </si>
  <si>
    <t>EUR21Y3MZ=R</t>
  </si>
  <si>
    <t>EUR21Y6MZ=R</t>
  </si>
  <si>
    <t>EUR21Y9MZ=R</t>
  </si>
  <si>
    <t>EUR22YZ=R</t>
  </si>
  <si>
    <t>EUR22Y3MZ=R</t>
  </si>
  <si>
    <t>EUR22Y6MZ=R</t>
  </si>
  <si>
    <t>EUR22Y9MZ=R</t>
  </si>
  <si>
    <t>EUR23YZ=R</t>
  </si>
  <si>
    <t>EUR23Y3MZ=R</t>
  </si>
  <si>
    <t>EUR23Y6MZ=R</t>
  </si>
  <si>
    <t>EUR23Y9MZ=R</t>
  </si>
  <si>
    <t>EUR24YZ=R</t>
  </si>
  <si>
    <t>EUR24Y3MZ=R</t>
  </si>
  <si>
    <t>EUR24Y6MZ=R</t>
  </si>
  <si>
    <t>EUR24Y9MZ=R</t>
  </si>
  <si>
    <t>EUR25YZ=R</t>
  </si>
  <si>
    <t>EUR25Y3MZ=R</t>
  </si>
  <si>
    <t>EUR25Y6MZ=R</t>
  </si>
  <si>
    <t>EUR25Y9MZ=R</t>
  </si>
  <si>
    <t>EUR26YZ=R</t>
  </si>
  <si>
    <t>EUR26Y3MZ=R</t>
  </si>
  <si>
    <t>EUR26Y6MZ=R</t>
  </si>
  <si>
    <t>EUR26Y9MZ=R</t>
  </si>
  <si>
    <t>EUR27YZ=R</t>
  </si>
  <si>
    <t>EUR27Y3MZ=R</t>
  </si>
  <si>
    <t>EUR27Y6MZ=R</t>
  </si>
  <si>
    <t>EUR27Y9MZ=R</t>
  </si>
  <si>
    <t>EUR28YZ=R</t>
  </si>
  <si>
    <t>EUR28Y3MZ=R</t>
  </si>
  <si>
    <t>EUR28Y6MZ=R</t>
  </si>
  <si>
    <t>EUR28Y9MZ=R</t>
  </si>
  <si>
    <t>EUR29YZ=R</t>
  </si>
  <si>
    <t>EUR29Y3MZ=R</t>
  </si>
  <si>
    <t>EUR29Y6MZ=R</t>
  </si>
  <si>
    <t>EUR29Y9MZ=R</t>
  </si>
  <si>
    <t>EUR30YZ=R</t>
  </si>
  <si>
    <t>EUR30Y3MZ=R</t>
  </si>
  <si>
    <t>EUR30Y6MZ=R</t>
  </si>
  <si>
    <t>C1</t>
  </si>
  <si>
    <t>C2</t>
  </si>
  <si>
    <t>C3</t>
  </si>
  <si>
    <t>Discount rates</t>
  </si>
  <si>
    <t>Updated at 10:29:35</t>
  </si>
  <si>
    <t>Updated at 10:29:36</t>
  </si>
  <si>
    <t>DE113782=</t>
  </si>
  <si>
    <t>DE113783=</t>
  </si>
  <si>
    <t>DE113784=</t>
  </si>
  <si>
    <t>DE113785=</t>
  </si>
  <si>
    <t>DE113786=</t>
  </si>
  <si>
    <t>DE110475=</t>
  </si>
  <si>
    <t>DE110476=</t>
  </si>
  <si>
    <t>DE110477=</t>
  </si>
  <si>
    <t>DE110478=</t>
  </si>
  <si>
    <t>DE110479=</t>
  </si>
  <si>
    <t>S30127000D0.ST</t>
  </si>
  <si>
    <t>S30127000P0.ST</t>
  </si>
  <si>
    <t>S30127500D0.ST</t>
  </si>
  <si>
    <t>S30127500P0.ST</t>
  </si>
  <si>
    <t>S30128000D0.ST</t>
  </si>
  <si>
    <t>S30128000P0.ST</t>
  </si>
  <si>
    <t>S30128500D0.ST</t>
  </si>
  <si>
    <t>S30128500P0.ST</t>
  </si>
  <si>
    <t>S30129000D0.ST</t>
  </si>
  <si>
    <t>S30129000P0.ST</t>
  </si>
  <si>
    <t>S30129500D0.ST</t>
  </si>
  <si>
    <t>S30129500P0.ST</t>
  </si>
  <si>
    <t>S30130000D0.ST</t>
  </si>
  <si>
    <t>S30130000P0.ST</t>
  </si>
  <si>
    <t>S30130500D0.ST</t>
  </si>
  <si>
    <t>S30130500P0.ST</t>
  </si>
  <si>
    <t>S30131000D0.ST</t>
  </si>
  <si>
    <t>S30131000P0.ST</t>
  </si>
  <si>
    <t>S30125000E0.ST</t>
  </si>
  <si>
    <t>S30125000Q0.ST</t>
  </si>
  <si>
    <t>S30126000E0.ST</t>
  </si>
  <si>
    <t>S30126000Q0.ST</t>
  </si>
  <si>
    <t>S30127000E0.ST</t>
  </si>
  <si>
    <t>S30127000Q0.ST</t>
  </si>
  <si>
    <t>OMXS30J0</t>
  </si>
  <si>
    <t>OMXS30K0</t>
  </si>
  <si>
    <t>OMXS30M0</t>
  </si>
  <si>
    <t>OMXS30U0</t>
  </si>
  <si>
    <t>OMXS30H1</t>
  </si>
  <si>
    <t>OMXS30M1</t>
  </si>
  <si>
    <t>OMXS30U1</t>
  </si>
  <si>
    <t>OMXS30Z3</t>
  </si>
  <si>
    <t>OMXS30Z4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</si>
</sst>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0%"/>
    <numFmt numFmtId="165" formatCode="0.0000000%"/>
    <numFmt numFmtId="166" formatCode="0.000000000"/>
    <numFmt numFmtId="167" formatCode="0.000%"/>
    <numFmt numFmtId="168" formatCode="0.00000"/>
    <numFmt numFmtId="169" formatCode="0.0000000"/>
    <numFmt numFmtId="170" formatCode="0.000"/>
    <numFmt numFmtId="171" formatCode="0.00000%"/>
    <numFmt numFmtId="172" formatCode="0.0000"/>
  </numFmts>
  <fonts count="9"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1"/>
      <name val="Arial"/>
      <family val="2"/>
    </font>
    <font>
      <sz val="9"/>
      <color indexed="81"/>
      <name val="Tahoma"/>
      <family val="2"/>
    </font>
    <font>
      <b/>
      <sz val="9"/>
      <color indexed="81"/>
      <name val="Tahoma"/>
      <family val="2"/>
    </font>
    <font>
      <sz val="11"/>
      <color rgb="FF000000"/>
      <name val="Calibri"/>
      <family val="2"/>
    </font>
    <font>
      <sz val="11"/>
      <color rgb="FF000000"/>
      <name val="Consolas"/>
      <family val="3"/>
    </font>
  </fonts>
  <fills count="8">
    <fill>
      <patternFill patternType="none"/>
    </fill>
    <fill>
      <patternFill patternType="gray125"/>
    </fill>
    <fill>
      <patternFill patternType="solid">
        <fgColor rgb="FFFFFFCC"/>
      </patternFill>
    </fill>
    <fill>
      <patternFill patternType="solid">
        <fgColor theme="8" tint="0.39997558519241921"/>
        <bgColor indexed="64"/>
      </patternFill>
    </fill>
    <fill>
      <patternFill patternType="solid">
        <fgColor rgb="FFCCFFFF"/>
        <bgColor indexed="64"/>
      </patternFill>
    </fill>
    <fill>
      <patternFill patternType="solid">
        <fgColor rgb="FFFFFFCC"/>
        <bgColor indexed="64"/>
      </patternFill>
    </fill>
    <fill>
      <patternFill patternType="solid">
        <fgColor theme="8" tint="0.79998168889431442"/>
        <bgColor indexed="64"/>
      </patternFill>
    </fill>
    <fill>
      <patternFill patternType="solid">
        <fgColor theme="8" tint="0.79998168889431442"/>
        <bgColor indexed="65"/>
      </patternFill>
    </fill>
  </fills>
  <borders count="25">
    <border>
      <left/>
      <right/>
      <top/>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top style="medium">
        <color indexed="64"/>
      </top>
      <bottom/>
      <diagonal/>
    </border>
    <border>
      <left style="medium">
        <color auto="1"/>
      </left>
      <right style="medium">
        <color auto="1"/>
      </right>
      <top style="medium">
        <color auto="1"/>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0" fontId="0" fillId="0" borderId="0"/>
    <xf numFmtId="9" fontId="1" fillId="0" borderId="0" applyFont="0" applyFill="0" applyBorder="0" applyAlignment="0" applyProtection="0"/>
    <xf numFmtId="0" fontId="1" fillId="2" borderId="1" applyNumberFormat="0" applyFont="0" applyAlignment="0" applyProtection="0"/>
    <xf numFmtId="0" fontId="3" fillId="0" borderId="0"/>
    <xf numFmtId="0" fontId="1" fillId="7" borderId="0" applyNumberFormat="0" applyBorder="0" applyAlignment="0" applyProtection="0"/>
  </cellStyleXfs>
  <cellXfs count="175">
    <xf numFmtId="0" fontId="0" fillId="0" borderId="0" xfId="0"/>
    <xf numFmtId="0" fontId="2" fillId="3" borderId="0" xfId="0" applyFont="1" applyFill="1" applyAlignment="1">
      <alignment horizontal="center"/>
    </xf>
    <xf numFmtId="0" fontId="2" fillId="3" borderId="0" xfId="0" applyFont="1" applyFill="1"/>
    <xf numFmtId="0" fontId="0" fillId="0" borderId="0" xfId="0" applyFill="1"/>
    <xf numFmtId="14" fontId="0" fillId="0" borderId="0" xfId="0" applyNumberFormat="1"/>
    <xf numFmtId="0" fontId="0" fillId="3" borderId="0" xfId="0" applyFill="1"/>
    <xf numFmtId="0" fontId="3" fillId="0" borderId="0" xfId="0" applyFont="1"/>
    <xf numFmtId="0" fontId="2" fillId="0" borderId="0" xfId="0" applyFont="1"/>
    <xf numFmtId="14" fontId="2" fillId="0" borderId="0" xfId="0" applyNumberFormat="1" applyFont="1"/>
    <xf numFmtId="0" fontId="0" fillId="0" borderId="0" xfId="0" applyNumberFormat="1"/>
    <xf numFmtId="0" fontId="2" fillId="0" borderId="2" xfId="0" applyFont="1" applyBorder="1"/>
    <xf numFmtId="0" fontId="2" fillId="0" borderId="3" xfId="0" applyFont="1" applyBorder="1"/>
    <xf numFmtId="164" fontId="2" fillId="0" borderId="4" xfId="1" applyNumberFormat="1" applyFont="1" applyBorder="1"/>
    <xf numFmtId="165" fontId="1" fillId="0" borderId="0" xfId="1" applyNumberFormat="1" applyFont="1"/>
    <xf numFmtId="0" fontId="0" fillId="0" borderId="0" xfId="0" applyBorder="1"/>
    <xf numFmtId="0" fontId="0" fillId="3" borderId="0" xfId="0" applyFill="1" applyBorder="1"/>
    <xf numFmtId="14" fontId="0" fillId="0" borderId="0" xfId="0" applyNumberFormat="1" applyFill="1" applyBorder="1"/>
    <xf numFmtId="0" fontId="2" fillId="0" borderId="0" xfId="0" applyFont="1" applyFill="1"/>
    <xf numFmtId="14" fontId="0" fillId="0" borderId="0" xfId="0" applyNumberFormat="1" applyFont="1"/>
    <xf numFmtId="0" fontId="0" fillId="3" borderId="0" xfId="0" quotePrefix="1" applyFill="1"/>
    <xf numFmtId="0" fontId="0" fillId="0" borderId="0" xfId="0" applyAlignment="1">
      <alignment vertical="center"/>
    </xf>
    <xf numFmtId="0" fontId="2" fillId="0" borderId="2" xfId="0" applyFont="1" applyFill="1" applyBorder="1"/>
    <xf numFmtId="0" fontId="0" fillId="0" borderId="0" xfId="0" quotePrefix="1"/>
    <xf numFmtId="14" fontId="0" fillId="0" borderId="0" xfId="0" quotePrefix="1" applyNumberFormat="1"/>
    <xf numFmtId="166" fontId="0" fillId="0" borderId="0" xfId="0" applyNumberFormat="1"/>
    <xf numFmtId="0" fontId="4" fillId="0" borderId="0" xfId="0" applyFont="1"/>
    <xf numFmtId="164" fontId="0" fillId="0" borderId="0" xfId="0" applyNumberFormat="1"/>
    <xf numFmtId="164" fontId="2" fillId="0" borderId="0" xfId="1" applyNumberFormat="1" applyFont="1"/>
    <xf numFmtId="167" fontId="1" fillId="0" borderId="0" xfId="1" applyNumberFormat="1" applyFont="1"/>
    <xf numFmtId="0" fontId="0" fillId="0" borderId="0" xfId="0" applyFill="1" applyBorder="1"/>
    <xf numFmtId="0" fontId="2" fillId="3" borderId="6" xfId="0" applyFont="1" applyFill="1" applyBorder="1"/>
    <xf numFmtId="0" fontId="2" fillId="3" borderId="7" xfId="0" applyFont="1" applyFill="1" applyBorder="1"/>
    <xf numFmtId="0" fontId="2" fillId="3" borderId="3" xfId="0" applyFont="1" applyFill="1" applyBorder="1"/>
    <xf numFmtId="0" fontId="2" fillId="3" borderId="4" xfId="0" applyFont="1" applyFill="1" applyBorder="1"/>
    <xf numFmtId="0" fontId="0" fillId="3" borderId="4" xfId="0" applyFill="1" applyBorder="1"/>
    <xf numFmtId="0" fontId="0" fillId="3" borderId="8" xfId="0" applyFill="1" applyBorder="1"/>
    <xf numFmtId="0" fontId="0" fillId="3" borderId="9" xfId="0" applyFill="1" applyBorder="1"/>
    <xf numFmtId="0" fontId="2" fillId="3" borderId="8" xfId="0" applyFont="1" applyFill="1" applyBorder="1"/>
    <xf numFmtId="0" fontId="2" fillId="3" borderId="9" xfId="0" applyFont="1" applyFill="1" applyBorder="1"/>
    <xf numFmtId="0" fontId="0" fillId="0" borderId="10" xfId="0" applyBorder="1"/>
    <xf numFmtId="0" fontId="2" fillId="3" borderId="0" xfId="0" applyFont="1" applyFill="1" applyBorder="1"/>
    <xf numFmtId="0" fontId="0" fillId="3" borderId="11" xfId="0" applyFill="1" applyBorder="1"/>
    <xf numFmtId="0" fontId="0" fillId="3" borderId="5" xfId="0" applyFill="1" applyBorder="1"/>
    <xf numFmtId="0" fontId="0" fillId="3" borderId="12" xfId="0" applyFill="1" applyBorder="1"/>
    <xf numFmtId="0" fontId="0" fillId="0" borderId="3" xfId="0" applyBorder="1"/>
    <xf numFmtId="0" fontId="0" fillId="0" borderId="4" xfId="0" applyBorder="1"/>
    <xf numFmtId="0" fontId="0" fillId="0" borderId="8" xfId="0" applyBorder="1"/>
    <xf numFmtId="0" fontId="0" fillId="0" borderId="9" xfId="0" applyBorder="1"/>
    <xf numFmtId="0" fontId="0" fillId="0" borderId="11" xfId="0" applyBorder="1"/>
    <xf numFmtId="14" fontId="2" fillId="4" borderId="4" xfId="2" applyNumberFormat="1" applyFont="1" applyFill="1" applyBorder="1"/>
    <xf numFmtId="0" fontId="2" fillId="0" borderId="8" xfId="0" applyFont="1" applyBorder="1"/>
    <xf numFmtId="14" fontId="2" fillId="4" borderId="9" xfId="2" applyNumberFormat="1" applyFont="1" applyFill="1" applyBorder="1"/>
    <xf numFmtId="0" fontId="2" fillId="0" borderId="8" xfId="0" applyFont="1" applyFill="1" applyBorder="1"/>
    <xf numFmtId="0" fontId="2" fillId="4" borderId="9" xfId="2" applyNumberFormat="1" applyFont="1" applyFill="1" applyBorder="1"/>
    <xf numFmtId="0" fontId="2" fillId="5" borderId="3" xfId="0" applyFont="1" applyFill="1" applyBorder="1" applyAlignment="1">
      <alignment horizontal="center" vertical="center"/>
    </xf>
    <xf numFmtId="0" fontId="0" fillId="5" borderId="4" xfId="0" applyFill="1" applyBorder="1"/>
    <xf numFmtId="0" fontId="2" fillId="5" borderId="8" xfId="0" applyFont="1" applyFill="1" applyBorder="1" applyAlignment="1">
      <alignment horizontal="center" vertical="center"/>
    </xf>
    <xf numFmtId="0" fontId="0" fillId="5" borderId="9" xfId="0" applyFill="1" applyBorder="1"/>
    <xf numFmtId="14" fontId="0" fillId="0" borderId="0" xfId="0" applyNumberFormat="1" applyBorder="1"/>
    <xf numFmtId="0" fontId="2" fillId="5" borderId="11" xfId="0" applyFont="1" applyFill="1" applyBorder="1" applyAlignment="1">
      <alignment horizontal="center" vertical="center"/>
    </xf>
    <xf numFmtId="0" fontId="0" fillId="0" borderId="0" xfId="0" quotePrefix="1" applyBorder="1"/>
    <xf numFmtId="0" fontId="0" fillId="0" borderId="0" xfId="0"/>
    <xf numFmtId="168" fontId="0" fillId="0" borderId="0" xfId="0" applyNumberFormat="1"/>
    <xf numFmtId="169" fontId="0" fillId="0" borderId="0" xfId="0" applyNumberFormat="1"/>
    <xf numFmtId="170" fontId="0" fillId="0" borderId="0" xfId="0" applyNumberFormat="1"/>
    <xf numFmtId="14" fontId="0" fillId="5" borderId="9" xfId="0" applyNumberFormat="1" applyFill="1" applyBorder="1"/>
    <xf numFmtId="0" fontId="0" fillId="5" borderId="9" xfId="0" applyFill="1" applyBorder="1" applyAlignment="1">
      <alignment wrapText="1"/>
    </xf>
    <xf numFmtId="0" fontId="0" fillId="5" borderId="12" xfId="0" applyFill="1" applyBorder="1"/>
    <xf numFmtId="0" fontId="2" fillId="3" borderId="13" xfId="0" applyFont="1" applyFill="1" applyBorder="1"/>
    <xf numFmtId="0" fontId="0" fillId="5" borderId="3" xfId="0" applyFill="1" applyBorder="1"/>
    <xf numFmtId="0" fontId="0" fillId="5" borderId="8" xfId="0" applyFill="1" applyBorder="1"/>
    <xf numFmtId="0" fontId="2" fillId="5" borderId="8" xfId="0" applyFont="1" applyFill="1" applyBorder="1"/>
    <xf numFmtId="14" fontId="2" fillId="0" borderId="0" xfId="0" applyNumberFormat="1" applyFont="1" applyBorder="1"/>
    <xf numFmtId="14" fontId="8" fillId="0" borderId="0" xfId="0" applyNumberFormat="1" applyFont="1" applyAlignment="1">
      <alignment horizontal="left" vertical="center"/>
    </xf>
    <xf numFmtId="0" fontId="2" fillId="0" borderId="0" xfId="0" applyFont="1" applyFill="1" applyBorder="1"/>
    <xf numFmtId="0" fontId="2" fillId="0" borderId="0" xfId="0" applyNumberFormat="1" applyFont="1" applyBorder="1"/>
    <xf numFmtId="0" fontId="3" fillId="3" borderId="0" xfId="0" applyFont="1" applyFill="1"/>
    <xf numFmtId="0" fontId="3" fillId="3" borderId="0" xfId="3" applyFill="1"/>
    <xf numFmtId="15" fontId="0" fillId="0" borderId="0" xfId="0" applyNumberFormat="1"/>
    <xf numFmtId="19" fontId="0" fillId="0" borderId="0" xfId="0" applyNumberFormat="1"/>
    <xf numFmtId="0" fontId="0" fillId="0" borderId="8" xfId="0" applyBorder="1" applyAlignment="1"/>
    <xf numFmtId="0" fontId="0" fillId="0" borderId="9" xfId="0" applyBorder="1" applyAlignment="1"/>
    <xf numFmtId="0" fontId="0" fillId="0" borderId="0" xfId="0"/>
    <xf numFmtId="0" fontId="0" fillId="0" borderId="0" xfId="0"/>
    <xf numFmtId="0" fontId="0" fillId="0" borderId="0" xfId="0"/>
    <xf numFmtId="0" fontId="2" fillId="2" borderId="14" xfId="2" applyFont="1" applyBorder="1"/>
    <xf numFmtId="0" fontId="2" fillId="0" borderId="0" xfId="0" applyFont="1" applyBorder="1"/>
    <xf numFmtId="0" fontId="2" fillId="2" borderId="16" xfId="2" applyFont="1" applyBorder="1"/>
    <xf numFmtId="14" fontId="1" fillId="2" borderId="17" xfId="2" applyNumberFormat="1" applyFont="1" applyBorder="1"/>
    <xf numFmtId="14" fontId="1" fillId="2" borderId="15" xfId="2" applyNumberFormat="1" applyFont="1" applyBorder="1"/>
    <xf numFmtId="0" fontId="2" fillId="2" borderId="18" xfId="2" applyFont="1" applyBorder="1"/>
    <xf numFmtId="171" fontId="2" fillId="0" borderId="0" xfId="1" applyNumberFormat="1" applyFont="1" applyBorder="1"/>
    <xf numFmtId="0" fontId="2" fillId="2" borderId="0" xfId="2" applyFont="1" applyBorder="1"/>
    <xf numFmtId="14" fontId="1" fillId="2" borderId="19" xfId="2" applyNumberFormat="1" applyFont="1" applyBorder="1"/>
    <xf numFmtId="0" fontId="1" fillId="2" borderId="17" xfId="2" quotePrefix="1" applyFont="1" applyBorder="1"/>
    <xf numFmtId="0" fontId="0" fillId="0" borderId="0" xfId="0"/>
    <xf numFmtId="0" fontId="0" fillId="0" borderId="0" xfId="0" quotePrefix="1"/>
    <xf numFmtId="0" fontId="0" fillId="0" borderId="0" xfId="0"/>
    <xf numFmtId="0" fontId="0" fillId="0" borderId="0" xfId="0" applyBorder="1"/>
    <xf numFmtId="0" fontId="0" fillId="0" borderId="0" xfId="0" quotePrefix="1"/>
    <xf numFmtId="0" fontId="2" fillId="0" borderId="0" xfId="0" quotePrefix="1" applyFont="1"/>
    <xf numFmtId="14" fontId="2" fillId="4" borderId="9" xfId="2" applyNumberFormat="1" applyFont="1" applyFill="1" applyBorder="1"/>
    <xf numFmtId="0" fontId="0" fillId="0" borderId="0" xfId="0" quotePrefix="1"/>
    <xf numFmtId="14" fontId="0" fillId="0" borderId="0" xfId="0" quotePrefix="1" applyNumberFormat="1"/>
    <xf numFmtId="14" fontId="2" fillId="4" borderId="9" xfId="2" applyNumberFormat="1" applyFont="1" applyFill="1" applyBorder="1"/>
    <xf numFmtId="0" fontId="0" fillId="0" borderId="0" xfId="0"/>
    <xf numFmtId="168" fontId="0" fillId="0" borderId="0" xfId="0" applyNumberFormat="1" applyBorder="1"/>
    <xf numFmtId="168" fontId="0" fillId="0" borderId="0" xfId="0" quotePrefix="1" applyNumberFormat="1" applyBorder="1"/>
    <xf numFmtId="0" fontId="0" fillId="0" borderId="0" xfId="0" applyAlignment="1">
      <alignment horizontal="left"/>
    </xf>
    <xf numFmtId="168" fontId="0" fillId="6" borderId="4" xfId="0" applyNumberFormat="1" applyFill="1" applyBorder="1"/>
    <xf numFmtId="168" fontId="0" fillId="6" borderId="9" xfId="0" applyNumberFormat="1" applyFill="1" applyBorder="1"/>
    <xf numFmtId="168" fontId="0" fillId="6" borderId="12" xfId="0" applyNumberFormat="1" applyFill="1" applyBorder="1"/>
    <xf numFmtId="0" fontId="2" fillId="6" borderId="3" xfId="0" applyFont="1" applyFill="1" applyBorder="1"/>
    <xf numFmtId="0" fontId="2" fillId="6" borderId="8" xfId="0" applyFont="1" applyFill="1" applyBorder="1"/>
    <xf numFmtId="0" fontId="2" fillId="6" borderId="11" xfId="0" applyFont="1" applyFill="1" applyBorder="1"/>
    <xf numFmtId="0" fontId="2" fillId="6" borderId="3" xfId="0" applyFont="1" applyFill="1" applyBorder="1" applyAlignment="1">
      <alignment horizontal="left"/>
    </xf>
    <xf numFmtId="0" fontId="2" fillId="6" borderId="8" xfId="0" applyFont="1" applyFill="1" applyBorder="1" applyAlignment="1">
      <alignment horizontal="left"/>
    </xf>
    <xf numFmtId="0" fontId="2" fillId="6" borderId="8" xfId="0" quotePrefix="1" applyFont="1" applyFill="1" applyBorder="1" applyAlignment="1">
      <alignment horizontal="left"/>
    </xf>
    <xf numFmtId="0" fontId="2" fillId="6" borderId="11" xfId="0" applyFont="1" applyFill="1" applyBorder="1" applyAlignment="1">
      <alignment horizontal="left"/>
    </xf>
    <xf numFmtId="0" fontId="0" fillId="5" borderId="11" xfId="0" applyFill="1" applyBorder="1"/>
    <xf numFmtId="0" fontId="0" fillId="5" borderId="9" xfId="0" applyNumberFormat="1" applyFill="1" applyBorder="1"/>
    <xf numFmtId="0" fontId="0" fillId="5" borderId="21" xfId="0" applyFont="1" applyFill="1" applyBorder="1" applyAlignment="1">
      <alignment horizontal="center" vertical="center"/>
    </xf>
    <xf numFmtId="14" fontId="0" fillId="5" borderId="10" xfId="0" applyNumberFormat="1" applyFill="1" applyBorder="1"/>
    <xf numFmtId="14" fontId="0" fillId="5" borderId="22" xfId="0" applyNumberFormat="1" applyFill="1" applyBorder="1"/>
    <xf numFmtId="170" fontId="0" fillId="6" borderId="4" xfId="0" applyNumberFormat="1" applyFill="1" applyBorder="1"/>
    <xf numFmtId="170" fontId="0" fillId="6" borderId="9" xfId="0" applyNumberFormat="1" applyFill="1" applyBorder="1"/>
    <xf numFmtId="170" fontId="0" fillId="6" borderId="12" xfId="0" applyNumberFormat="1" applyFill="1" applyBorder="1"/>
    <xf numFmtId="0" fontId="2" fillId="6" borderId="3" xfId="2" applyFont="1" applyFill="1" applyBorder="1"/>
    <xf numFmtId="0" fontId="0" fillId="6" borderId="4" xfId="0" applyFill="1" applyBorder="1" applyAlignment="1">
      <alignment horizontal="left"/>
    </xf>
    <xf numFmtId="0" fontId="2" fillId="6" borderId="8" xfId="2" applyFont="1" applyFill="1" applyBorder="1"/>
    <xf numFmtId="0" fontId="0" fillId="6" borderId="9" xfId="0" applyFill="1" applyBorder="1" applyAlignment="1">
      <alignment horizontal="left"/>
    </xf>
    <xf numFmtId="0" fontId="0" fillId="6" borderId="12" xfId="0" applyFill="1" applyBorder="1" applyAlignment="1">
      <alignment horizontal="left"/>
    </xf>
    <xf numFmtId="170" fontId="0" fillId="5" borderId="9" xfId="0" applyNumberFormat="1" applyFill="1" applyBorder="1"/>
    <xf numFmtId="0" fontId="1" fillId="2" borderId="19" xfId="2" applyFont="1" applyBorder="1" applyAlignment="1">
      <alignment wrapText="1"/>
    </xf>
    <xf numFmtId="0" fontId="2" fillId="2" borderId="18" xfId="2" applyFont="1" applyBorder="1" applyAlignment="1">
      <alignment vertical="top"/>
    </xf>
    <xf numFmtId="14" fontId="0" fillId="6" borderId="9" xfId="0" applyNumberFormat="1" applyFill="1" applyBorder="1" applyAlignment="1">
      <alignment horizontal="left"/>
    </xf>
    <xf numFmtId="0" fontId="0" fillId="6" borderId="9" xfId="0" applyNumberFormat="1" applyFill="1" applyBorder="1" applyAlignment="1">
      <alignment horizontal="left"/>
    </xf>
    <xf numFmtId="0" fontId="0" fillId="0" borderId="0" xfId="0" applyAlignment="1"/>
    <xf numFmtId="0" fontId="1" fillId="7" borderId="0" xfId="4" applyBorder="1"/>
    <xf numFmtId="0" fontId="1" fillId="7" borderId="9" xfId="4" applyBorder="1"/>
    <xf numFmtId="0" fontId="1" fillId="7" borderId="11" xfId="4" applyBorder="1"/>
    <xf numFmtId="0" fontId="1" fillId="7" borderId="5" xfId="4" applyBorder="1"/>
    <xf numFmtId="0" fontId="1" fillId="7" borderId="12" xfId="4" applyBorder="1"/>
    <xf numFmtId="0" fontId="2" fillId="7" borderId="3" xfId="4" applyFont="1" applyBorder="1"/>
    <xf numFmtId="0" fontId="2" fillId="7" borderId="8" xfId="4" applyFont="1" applyBorder="1"/>
    <xf numFmtId="0" fontId="2" fillId="6" borderId="8" xfId="2" applyFont="1" applyFill="1" applyBorder="1" applyAlignment="1"/>
    <xf numFmtId="0" fontId="0" fillId="0" borderId="23" xfId="0" applyBorder="1"/>
    <xf numFmtId="14" fontId="0" fillId="0" borderId="24" xfId="0" applyNumberFormat="1" applyBorder="1"/>
    <xf numFmtId="14" fontId="0" fillId="0" borderId="23" xfId="0" applyNumberFormat="1" applyBorder="1"/>
    <xf numFmtId="0" fontId="0" fillId="0" borderId="24" xfId="0" applyBorder="1"/>
    <xf numFmtId="0" fontId="2" fillId="7" borderId="20" xfId="4" applyFont="1" applyBorder="1"/>
    <xf numFmtId="0" fontId="2" fillId="7" borderId="4" xfId="4" applyFont="1" applyBorder="1"/>
    <xf numFmtId="0" fontId="2" fillId="7" borderId="0" xfId="4" applyFont="1" applyBorder="1"/>
    <xf numFmtId="168" fontId="1" fillId="7" borderId="4" xfId="4" applyNumberFormat="1" applyBorder="1"/>
    <xf numFmtId="168" fontId="1" fillId="7" borderId="9" xfId="4" applyNumberFormat="1" applyBorder="1"/>
    <xf numFmtId="0" fontId="0" fillId="0" borderId="13" xfId="0" applyBorder="1"/>
    <xf numFmtId="0" fontId="2" fillId="7" borderId="11" xfId="4" applyFont="1" applyBorder="1"/>
    <xf numFmtId="172" fontId="1" fillId="7" borderId="0" xfId="4" applyNumberFormat="1" applyBorder="1"/>
    <xf numFmtId="172" fontId="1" fillId="7" borderId="9" xfId="4" applyNumberFormat="1" applyBorder="1"/>
    <xf numFmtId="172" fontId="1" fillId="7" borderId="5" xfId="4" applyNumberFormat="1" applyBorder="1"/>
    <xf numFmtId="0" fontId="2" fillId="6" borderId="11" xfId="2" applyFont="1" applyFill="1" applyBorder="1"/>
    <xf numFmtId="0" fontId="3" fillId="0" borderId="0" xfId="3"/>
    <xf numFmtId="166" fontId="0" fillId="6" borderId="0" xfId="0" applyNumberFormat="1" applyFill="1" applyBorder="1" applyAlignment="1">
      <alignment horizontal="left"/>
    </xf>
    <xf numFmtId="166" fontId="0" fillId="6" borderId="20" xfId="0" applyNumberFormat="1" applyFill="1" applyBorder="1" applyAlignment="1">
      <alignment horizontal="left"/>
    </xf>
    <xf numFmtId="166" fontId="0" fillId="6" borderId="5" xfId="0" applyNumberFormat="1" applyFill="1" applyBorder="1" applyAlignment="1">
      <alignment horizontal="left"/>
    </xf>
    <xf numFmtId="0" fontId="0" fillId="6" borderId="4" xfId="0" applyFill="1" applyBorder="1"/>
    <xf numFmtId="0" fontId="0" fillId="6" borderId="9" xfId="0" applyFill="1" applyBorder="1"/>
    <xf numFmtId="0" fontId="0" fillId="6" borderId="12" xfId="0" applyFill="1" applyBorder="1"/>
    <xf numFmtId="166" fontId="1" fillId="7" borderId="12" xfId="4" applyNumberFormat="1" applyBorder="1"/>
    <xf numFmtId="166" fontId="1" fillId="7" borderId="9" xfId="4" applyNumberFormat="1" applyBorder="1"/>
    <xf numFmtId="0" fontId="2" fillId="0" borderId="8" xfId="0" applyFont="1" applyFill="1" applyBorder="1" applyAlignment="1">
      <alignment horizontal="center"/>
    </xf>
    <xf numFmtId="0" fontId="2" fillId="0" borderId="9" xfId="0" applyFont="1" applyFill="1" applyBorder="1" applyAlignment="1">
      <alignment horizontal="center"/>
    </xf>
    <xf numFmtId="0" fontId="2" fillId="3" borderId="0" xfId="0" applyFont="1" applyFill="1" applyAlignment="1">
      <alignment horizontal="center"/>
    </xf>
    <xf numFmtId="0" fontId="0" fillId="5" borderId="0" xfId="0" applyFill="1" applyBorder="1" applyAlignment="1">
      <alignment horizontal="center" wrapText="1"/>
    </xf>
    <xf numFmtId="0" fontId="2" fillId="0" borderId="13" xfId="0" applyFont="1" applyBorder="1" applyAlignment="1">
      <alignment horizontal="center"/>
    </xf>
  </cellXfs>
  <cellStyles count="5">
    <cellStyle name="20% - Accent5" xfId="4" builtinId="46"/>
    <cellStyle name="Normal" xfId="0" builtinId="0"/>
    <cellStyle name="Normal 2" xfId="3" xr:uid="{00000000-0005-0000-0000-000002000000}"/>
    <cellStyle name="Note" xfId="2" builtinId="1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pldatasource.rtgetrtdserver">
      <tp t="s">
        <v>#N/A The record could not be found</v>
        <stp/>
        <stp xml:space="preserve">	DE114168=
RT YIELD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O9" s="1"/>
      </tp>
      <tp>
        <v>0</v>
        <stp/>
        <stp>_x0008_OMXS30K0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Y9" s="1"/>
      </tp>
      <tp>
        <v>1286.25</v>
        <stp/>
        <stp>_x0008_OMXS30K0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Y8" s="1"/>
      </tp>
      <tp t="s">
        <v>#N/A The record could not be found</v>
        <stp/>
        <stp xml:space="preserve">	DE110466=
RT YIELD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L8" s="1"/>
      </tp>
    </main>
    <main first="pldatasource.rhistoryrtdserver">
      <tp t="s">
        <v>Updated at 18:29:34</v>
        <stp/>
        <stp>{CAC48681-D8AD-4412-AC97-B79E888C89E7}_x0000_</stp>
        <tr r="E4" s="10"/>
      </tp>
    </main>
    <main first="pldatasource.rtgetrtdserver">
      <tp t="b">
        <v>1</v>
        <stp/>
        <stp>_x0008_EUR4YZ=R_x0008_GV1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23" s="1"/>
      </tp>
      <tp t="b">
        <v>1</v>
        <stp/>
        <stp>_x0008_EUR7YZ=R_x0008_GV2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35" s="1"/>
      </tp>
      <tp t="b">
        <v>1</v>
        <stp/>
        <stp>_x0008_EUR6MZ=R_x0008_GV2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9" s="1"/>
      </tp>
      <tp>
        <v>43913</v>
        <stp/>
        <stp>_x0008_EUR5YZ=R_x0008_GV1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27" s="1"/>
      </tp>
      <tp t="b">
        <v>1</v>
        <stp/>
        <stp>_x0008_EUR6YZ=R_x0008_GV2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31" s="1"/>
      </tp>
      <tp t="b">
        <v>1</v>
        <stp/>
        <stp>_x0008_EUR6MZ=R_x0008_GV1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9" s="1"/>
      </tp>
      <tp>
        <v>45741</v>
        <stp/>
        <stp>_x0008_EUR5YZ=R_x0008_GV2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27" s="1"/>
      </tp>
      <tp t="b">
        <v>1</v>
        <stp/>
        <stp>_x0008_EUR6YZ=R_x0008_GV1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31" s="1"/>
      </tp>
      <tp t="b">
        <v>1</v>
        <stp/>
        <stp>_x0008_EUR4YZ=R_x0008_GV2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23" s="1"/>
      </tp>
      <tp t="b">
        <v>1</v>
        <stp/>
        <stp>_x0008_EUR7YZ=R_x0008_GV1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35" s="1"/>
      </tp>
      <tp t="b">
        <v>1</v>
        <stp/>
        <stp>_x0008_EUR3MZ=R_x0008_GV2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8" s="1"/>
      </tp>
      <tp t="b">
        <v>1</v>
        <stp/>
        <stp>_x0008_EUR3YZ=R_x0008_GV2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9" s="1"/>
      </tp>
      <tp>
        <v>43913</v>
        <stp/>
        <stp>_x0008_EUR1MZ=R_x0008_GV1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6" s="1"/>
      </tp>
      <tp t="b">
        <v>1</v>
        <stp/>
        <stp>_x0008_EUR2MZ=R_x0008_GV2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7" s="1"/>
      </tp>
      <tp t="b">
        <v>1</v>
        <stp/>
        <stp>_x0008_EUR1WZ=R_x0008_GV1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5" s="1"/>
      </tp>
      <tp>
        <v>43913</v>
        <stp/>
        <stp>_x0008_EUR1YZ=R_x0008_GV1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1" s="1"/>
      </tp>
      <tp>
        <v>44645</v>
        <stp/>
        <stp>_x0008_EUR2YZ=R_x0008_GV2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5" s="1"/>
      </tp>
      <tp>
        <v>43948</v>
        <stp/>
        <stp>_x0008_EUR1MZ=R_x0008_GV2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6" s="1"/>
      </tp>
      <tp t="b">
        <v>1</v>
        <stp/>
        <stp>_x0008_EUR2MZ=R_x0008_GV1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7" s="1"/>
      </tp>
      <tp t="b">
        <v>1</v>
        <stp/>
        <stp>_x0008_EUR1WZ=R_x0008_GV2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5" s="1"/>
      </tp>
      <tp>
        <v>44280</v>
        <stp/>
        <stp>_x0008_EUR1YZ=R_x0008_GV2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1" s="1"/>
      </tp>
      <tp>
        <v>43913</v>
        <stp/>
        <stp>_x0008_EUR2YZ=R_x0008_GV1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5" s="1"/>
      </tp>
      <tp t="b">
        <v>1</v>
        <stp/>
        <stp>_x0008_EUR3MZ=R_x0008_GV1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8" s="1"/>
      </tp>
      <tp t="b">
        <v>1</v>
        <stp/>
        <stp>_x0008_EUR3YZ=R_x0008_GV1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9" s="1"/>
      </tp>
      <tp t="b">
        <v>1</v>
        <stp/>
        <stp>_x0008_EUR8YZ=R_x0008_GV1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39" s="1"/>
      </tp>
      <tp t="b">
        <v>1</v>
        <stp/>
        <stp>_x0008_EUR9MZ=R_x0008_GV1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0" s="1"/>
      </tp>
      <tp>
        <v>43913</v>
        <stp/>
        <stp>_x0008_EUR9YZ=R_x0008_GV1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43" s="1"/>
      </tp>
      <tp t="b">
        <v>1</v>
        <stp/>
        <stp>_x0008_EUR9MZ=R_x0008_GV2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0" s="1"/>
      </tp>
      <tp>
        <v>47203</v>
        <stp/>
        <stp>_x0008_EUR9YZ=R_x0008_GV2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43" s="1"/>
      </tp>
      <tp>
        <v>1292.2740000000001</v>
        <stp/>
        <stp>_x0007_.OMXS30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Y3" s="1"/>
        <tr r="AB3" s="1"/>
      </tp>
      <tp t="b">
        <v>1</v>
        <stp/>
        <stp>_x0008_EUR8YZ=R_x0008_GV2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39" s="1"/>
      </tp>
      <tp t="b">
        <v>1</v>
        <stp/>
        <stp>_x0008_EURONZ=R_x000F_SECOND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3" s="1"/>
      </tp>
    </main>
    <main first="pldatasource.rdatartdserver">
      <tp t="s">
        <v>Updated at 18:29:33</v>
        <stp/>
        <stp>{552C8741-CEE5-4E45-B223-CD1BBE5EAEA8}</stp>
        <tr r="X18" s="1"/>
      </tp>
    </main>
    <main first="pldatasource.rtgetrtdserver">
      <tp t="s">
        <v>#N/A The record could not be found</v>
        <stp/>
        <stp xml:space="preserve">	DE110466=_x0008_CURRENCY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L3" s="1"/>
      </tp>
    </main>
    <main first="pldatasource.rtgetrtdserver">
      <tp t="b">
        <v>1</v>
        <stp/>
        <stp xml:space="preserve">	EUR10YZ=R_x0008_GV2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47" s="1"/>
      </tp>
      <tp>
        <v>43913</v>
        <stp/>
        <stp xml:space="preserve">	EUR13YZ=R_x0008_GV1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59" s="1"/>
      </tp>
      <tp t="b">
        <v>1</v>
        <stp/>
        <stp xml:space="preserve">	EUR11YZ=R_x0008_GV2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51" s="1"/>
      </tp>
      <tp>
        <v>43913</v>
        <stp/>
        <stp xml:space="preserve">	EUR12YZ=R_x0008_GV1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55" s="1"/>
      </tp>
      <tp t="b">
        <v>1</v>
        <stp/>
        <stp xml:space="preserve">	EUR11YZ=R_x0008_GV1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51" s="1"/>
      </tp>
      <tp>
        <v>48298</v>
        <stp/>
        <stp xml:space="preserve">	EUR12YZ=R_x0008_GV2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55" s="1"/>
      </tp>
      <tp t="b">
        <v>1</v>
        <stp/>
        <stp xml:space="preserve">	EUR10YZ=R_x0008_GV1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47" s="1"/>
      </tp>
      <tp>
        <v>48663</v>
        <stp/>
        <stp xml:space="preserve">	EUR13YZ=R_x0008_GV2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59" s="1"/>
      </tp>
      <tp t="b">
        <v>1</v>
        <stp/>
        <stp xml:space="preserve">	EUR14YZ=R_x0008_GV2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63" s="1"/>
      </tp>
      <tp t="s">
        <v>#N/A The record could not be found</v>
        <stp/>
        <stp xml:space="preserve">	EUR17YZ=R_x0008_GV1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75" s="1"/>
      </tp>
      <tp>
        <v>49395</v>
        <stp/>
        <stp xml:space="preserve">	EUR15YZ=R_x0008_GV2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67" s="1"/>
      </tp>
      <tp t="b">
        <v>1</v>
        <stp/>
        <stp xml:space="preserve">	EUR16YZ=R_x0008_GV1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71" s="1"/>
      </tp>
      <tp>
        <v>43913</v>
        <stp/>
        <stp xml:space="preserve">	EUR15YZ=R_x0008_GV1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67" s="1"/>
      </tp>
      <tp t="b">
        <v>1</v>
        <stp/>
        <stp xml:space="preserve">	EUR16YZ=R_x0008_GV2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71" s="1"/>
      </tp>
      <tp t="b">
        <v>1</v>
        <stp/>
        <stp xml:space="preserve">	EUR14YZ=R_x0008_GV1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63" s="1"/>
      </tp>
      <tp t="s">
        <v>#N/A The record could not be found</v>
        <stp/>
        <stp xml:space="preserve">	EUR17YZ=R_x0008_GV2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75" s="1"/>
      </tp>
      <tp t="s">
        <v>#N/A The record could not be found</v>
        <stp/>
        <stp xml:space="preserve">	EUR18YZ=R_x0008_GV2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79" s="1"/>
      </tp>
      <tp t="b">
        <v>1</v>
        <stp/>
        <stp xml:space="preserve">	EUR19YZ=R_x0008_GV2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83" s="1"/>
      </tp>
      <tp t="b">
        <v>1</v>
        <stp/>
        <stp xml:space="preserve">	EUR19YZ=R_x0008_GV1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83" s="1"/>
      </tp>
      <tp t="s">
        <v>#N/A The record could not be found</v>
        <stp/>
        <stp xml:space="preserve">	EUR18YZ=R_x0008_GV1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79" s="1"/>
      </tp>
      <tp>
        <v>1.000026251</v>
        <stp/>
        <stp>_x0008_EURTNZ=R_x000F_SECOND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4" s="1"/>
      </tp>
      <tp t="b">
        <v>1</v>
        <stp/>
        <stp xml:space="preserve">	EUR30YZ=R_x0008_GV2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27" s="1"/>
      </tp>
      <tp t="b">
        <v>1</v>
        <stp/>
        <stp xml:space="preserve">	EUR30YZ=R_x0008_GV1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27" s="1"/>
      </tp>
      <tp t="b">
        <v>1</v>
        <stp/>
        <stp xml:space="preserve">	EUR20YZ=R_x0008_GV2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87" s="1"/>
      </tp>
      <tp t="b">
        <v>1</v>
        <stp/>
        <stp xml:space="preserve">	EUR23YZ=R_x0008_GV1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99" s="1"/>
      </tp>
      <tp t="b">
        <v>1</v>
        <stp/>
        <stp xml:space="preserve">	EUR21YZ=R_x0008_GV2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91" s="1"/>
      </tp>
      <tp t="b">
        <v>1</v>
        <stp/>
        <stp xml:space="preserve">	EUR22YZ=R_x0008_GV1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95" s="1"/>
      </tp>
      <tp t="b">
        <v>1</v>
        <stp/>
        <stp xml:space="preserve">	EUR21YZ=R_x0008_GV1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91" s="1"/>
      </tp>
      <tp t="b">
        <v>1</v>
        <stp/>
        <stp xml:space="preserve">	EUR22YZ=R_x0008_GV2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95" s="1"/>
      </tp>
      <tp t="b">
        <v>1</v>
        <stp/>
        <stp xml:space="preserve">	EUR20YZ=R_x0008_GV1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87" s="1"/>
      </tp>
      <tp t="b">
        <v>1</v>
        <stp/>
        <stp xml:space="preserve">	EUR23YZ=R_x0008_GV2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99" s="1"/>
      </tp>
      <tp t="b">
        <v>1</v>
        <stp/>
        <stp xml:space="preserve">	EUR24YZ=R_x0008_GV2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03" s="1"/>
      </tp>
      <tp t="b">
        <v>1</v>
        <stp/>
        <stp xml:space="preserve">	EUR27YZ=R_x0008_GV1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15" s="1"/>
      </tp>
      <tp t="b">
        <v>1</v>
        <stp/>
        <stp xml:space="preserve">	EUR25YZ=R_x0008_GV2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07" s="1"/>
      </tp>
      <tp t="b">
        <v>1</v>
        <stp/>
        <stp xml:space="preserve">	EUR26YZ=R_x0008_GV1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11" s="1"/>
      </tp>
      <tp t="b">
        <v>1</v>
        <stp/>
        <stp xml:space="preserve">	EUR25YZ=R_x0008_GV1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07" s="1"/>
      </tp>
      <tp t="b">
        <v>1</v>
        <stp/>
        <stp xml:space="preserve">	EUR26YZ=R_x0008_GV2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11" s="1"/>
      </tp>
      <tp t="b">
        <v>1</v>
        <stp/>
        <stp xml:space="preserve">	EUR24YZ=R_x0008_GV1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03" s="1"/>
      </tp>
      <tp t="b">
        <v>1</v>
        <stp/>
        <stp xml:space="preserve">	EUR27YZ=R_x0008_GV2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15" s="1"/>
      </tp>
      <tp t="s">
        <v>#N/A The record could not be found</v>
        <stp/>
        <stp xml:space="preserve">	EUR28YZ=R_x0008_GV2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19" s="1"/>
      </tp>
      <tp t="b">
        <v>1</v>
        <stp/>
        <stp xml:space="preserve">	EUR29YZ=R_x0008_GV2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23" s="1"/>
      </tp>
      <tp t="b">
        <v>1</v>
        <stp/>
        <stp xml:space="preserve">	EUR29YZ=R_x0008_GV1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23" s="1"/>
      </tp>
      <tp t="s">
        <v>#N/A The record could not be found</v>
        <stp/>
        <stp xml:space="preserve">	EUR28YZ=R_x0008_GV1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19" s="1"/>
      </tp>
      <tp t="b">
        <v>1</v>
        <stp/>
        <stp>_x000B_EUR25Y6MZ=R_x0008_GV1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09" s="1"/>
      </tp>
      <tp t="b">
        <v>1</v>
        <stp/>
        <stp>_x000B_EUR25Y6MZ=R_x0008_GV2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09" s="1"/>
      </tp>
      <tp t="s">
        <v>#N/A The record could not be found</v>
        <stp/>
        <stp>_x000B_EUR25Y3MZ=R_x0008_GV1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08" s="1"/>
      </tp>
      <tp t="s">
        <v>#N/A The record could not be found</v>
        <stp/>
        <stp>_x000B_EUR25Y3MZ=R_x0008_GV2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08" s="1"/>
      </tp>
      <tp t="b">
        <v>1</v>
        <stp/>
        <stp>_x000B_EUR25Y9MZ=R_x0008_GV2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10" s="1"/>
      </tp>
      <tp t="b">
        <v>1</v>
        <stp/>
        <stp>_x000B_EUR25Y9MZ=R_x0008_GV1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10" s="1"/>
      </tp>
      <tp t="s">
        <v>#N/A The record could not be found</v>
        <stp/>
        <stp>_x000B_EUR24Y6MZ=R_x0008_GV1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05" s="1"/>
      </tp>
      <tp t="s">
        <v>#N/A The record could not be found</v>
        <stp/>
        <stp>_x000B_EUR24Y6MZ=R_x0008_GV2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05" s="1"/>
      </tp>
      <tp t="s">
        <v>#N/A The record could not be found</v>
        <stp/>
        <stp>_x000B_EUR24Y3MZ=R_x0008_GV1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04" s="1"/>
      </tp>
      <tp t="s">
        <v>#N/A The record could not be found</v>
        <stp/>
        <stp>_x000B_EUR24Y3MZ=R_x0008_GV2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04" s="1"/>
      </tp>
      <tp t="b">
        <v>1</v>
        <stp/>
        <stp>_x000B_EUR24Y9MZ=R_x0008_GV2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06" s="1"/>
      </tp>
      <tp t="b">
        <v>1</v>
        <stp/>
        <stp>_x000B_EUR24Y9MZ=R_x0008_GV1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06" s="1"/>
      </tp>
      <tp t="b">
        <v>1</v>
        <stp/>
        <stp>_x000B_EUR27Y6MZ=R_x0008_GV1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17" s="1"/>
      </tp>
      <tp t="b">
        <v>1</v>
        <stp/>
        <stp>_x000B_EUR27Y6MZ=R_x0008_GV2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17" s="1"/>
      </tp>
      <tp t="b">
        <v>1</v>
        <stp/>
        <stp>_x000B_EUR27Y3MZ=R_x0008_GV1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16" s="1"/>
      </tp>
      <tp t="b">
        <v>1</v>
        <stp/>
        <stp>_x000B_EUR27Y3MZ=R_x0008_GV2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16" s="1"/>
      </tp>
      <tp t="b">
        <v>1</v>
        <stp/>
        <stp>_x000B_EUR27Y9MZ=R_x0008_GV2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18" s="1"/>
      </tp>
      <tp t="b">
        <v>1</v>
        <stp/>
        <stp>_x000B_EUR27Y9MZ=R_x0008_GV1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18" s="1"/>
      </tp>
      <tp t="b">
        <v>1</v>
        <stp/>
        <stp>_x000B_EUR26Y6MZ=R_x0008_GV1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13" s="1"/>
      </tp>
      <tp t="b">
        <v>1</v>
        <stp/>
        <stp>_x000B_EUR26Y6MZ=R_x0008_GV2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13" s="1"/>
      </tp>
      <tp t="b">
        <v>1</v>
        <stp/>
        <stp>_x000B_EUR26Y3MZ=R_x0008_GV1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12" s="1"/>
      </tp>
      <tp t="b">
        <v>1</v>
        <stp/>
        <stp>_x000B_EUR26Y3MZ=R_x0008_GV2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12" s="1"/>
      </tp>
      <tp t="s">
        <v>#N/A The record could not be found</v>
        <stp/>
        <stp>_x000B_EUR26Y9MZ=R_x0008_GV2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14" s="1"/>
      </tp>
      <tp t="s">
        <v>#N/A The record could not be found</v>
        <stp/>
        <stp>_x000B_EUR26Y9MZ=R_x0008_GV1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14" s="1"/>
      </tp>
      <tp t="b">
        <v>1</v>
        <stp/>
        <stp>_x000B_EUR21Y6MZ=R_x0008_GV1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93" s="1"/>
      </tp>
      <tp t="b">
        <v>1</v>
        <stp/>
        <stp>_x000B_EUR21Y6MZ=R_x0008_GV2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93" s="1"/>
      </tp>
      <tp t="b">
        <v>1</v>
        <stp/>
        <stp>_x000B_EUR21Y3MZ=R_x0008_GV1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92" s="1"/>
      </tp>
      <tp t="b">
        <v>1</v>
        <stp/>
        <stp>_x000B_EUR21Y3MZ=R_x0008_GV2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92" s="1"/>
      </tp>
      <tp t="b">
        <v>1</v>
        <stp/>
        <stp>_x000B_EUR21Y9MZ=R_x0008_GV2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94" s="1"/>
      </tp>
      <tp t="b">
        <v>1</v>
        <stp/>
        <stp>_x000B_EUR21Y9MZ=R_x0008_GV1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94" s="1"/>
      </tp>
      <tp t="b">
        <v>1</v>
        <stp/>
        <stp>_x000B_EUR20Y6MZ=R_x0008_GV1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89" s="1"/>
      </tp>
      <tp t="b">
        <v>1</v>
        <stp/>
        <stp>_x000B_EUR20Y6MZ=R_x0008_GV2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89" s="1"/>
      </tp>
      <tp t="s">
        <v>#N/A The record could not be found</v>
        <stp/>
        <stp>_x000B_EUR20Y3MZ=R_x0008_GV1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88" s="1"/>
      </tp>
      <tp t="s">
        <v>#N/A The record could not be found</v>
        <stp/>
        <stp>_x000B_EUR20Y3MZ=R_x0008_GV2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88" s="1"/>
      </tp>
      <tp t="b">
        <v>1</v>
        <stp/>
        <stp>_x000B_EUR20Y9MZ=R_x0008_GV2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90" s="1"/>
      </tp>
      <tp t="b">
        <v>1</v>
        <stp/>
        <stp>_x000B_EUR20Y9MZ=R_x0008_GV1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90" s="1"/>
      </tp>
      <tp t="b">
        <v>1</v>
        <stp/>
        <stp>_x000B_EUR23Y6MZ=R_x0008_GV1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01" s="1"/>
      </tp>
      <tp t="b">
        <v>1</v>
        <stp/>
        <stp>_x000B_EUR23Y6MZ=R_x0008_GV2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01" s="1"/>
      </tp>
      <tp t="b">
        <v>1</v>
        <stp/>
        <stp>_x000B_EUR23Y3MZ=R_x0008_GV1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00" s="1"/>
      </tp>
      <tp t="b">
        <v>1</v>
        <stp/>
        <stp>_x000B_EUR23Y3MZ=R_x0008_GV2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00" s="1"/>
      </tp>
      <tp t="b">
        <v>1</v>
        <stp/>
        <stp>_x000B_EUR23Y9MZ=R_x0008_GV2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02" s="1"/>
      </tp>
      <tp t="b">
        <v>1</v>
        <stp/>
        <stp>_x000B_EUR23Y9MZ=R_x0008_GV1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02" s="1"/>
      </tp>
      <tp t="b">
        <v>1</v>
        <stp/>
        <stp>_x000B_EUR22Y6MZ=R_x0008_GV1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97" s="1"/>
      </tp>
      <tp t="b">
        <v>1</v>
        <stp/>
        <stp>_x000B_EUR22Y6MZ=R_x0008_GV2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97" s="1"/>
      </tp>
      <tp t="b">
        <v>1</v>
        <stp/>
        <stp>_x000B_EUR22Y3MZ=R_x0008_GV1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96" s="1"/>
      </tp>
      <tp t="b">
        <v>1</v>
        <stp/>
        <stp>_x000B_EUR22Y3MZ=R_x0008_GV2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96" s="1"/>
      </tp>
      <tp t="b">
        <v>1</v>
        <stp/>
        <stp>_x000B_EUR22Y9MZ=R_x0008_GV2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98" s="1"/>
      </tp>
      <tp t="b">
        <v>1</v>
        <stp/>
        <stp>_x000B_EUR22Y9MZ=R_x0008_GV1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98" s="1"/>
      </tp>
      <tp t="b">
        <v>1</v>
        <stp/>
        <stp>_x000B_EUR29Y6MZ=R_x0008_GV1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25" s="1"/>
      </tp>
      <tp t="b">
        <v>1</v>
        <stp/>
        <stp>_x000B_EUR29Y6MZ=R_x0008_GV2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25" s="1"/>
      </tp>
      <tp t="s">
        <v>#N/A The record could not be found</v>
        <stp/>
        <stp>_x000B_EUR29Y3MZ=R_x0008_GV1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24" s="1"/>
      </tp>
      <tp t="s">
        <v>#N/A The record could not be found</v>
        <stp/>
        <stp>_x000B_EUR29Y3MZ=R_x0008_GV2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24" s="1"/>
      </tp>
      <tp t="s">
        <v>#N/A The record could not be found</v>
        <stp/>
        <stp>_x000B_EUR29Y9MZ=R_x0008_GV2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26" s="1"/>
      </tp>
      <tp t="s">
        <v>#N/A The record could not be found</v>
        <stp/>
        <stp>_x000B_EUR29Y9MZ=R_x0008_GV1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26" s="1"/>
      </tp>
      <tp t="b">
        <v>1</v>
        <stp/>
        <stp>_x000B_EUR28Y6MZ=R_x0008_GV1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21" s="1"/>
      </tp>
      <tp t="b">
        <v>1</v>
        <stp/>
        <stp>_x000B_EUR28Y6MZ=R_x0008_GV2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21" s="1"/>
      </tp>
      <tp t="b">
        <v>1</v>
        <stp/>
        <stp>_x000B_EUR28Y3MZ=R_x0008_GV1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20" s="1"/>
      </tp>
      <tp t="b">
        <v>1</v>
        <stp/>
        <stp>_x000B_EUR28Y3MZ=R_x0008_GV2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20" s="1"/>
      </tp>
      <tp t="b">
        <v>1</v>
        <stp/>
        <stp>_x000B_EUR28Y9MZ=R_x0008_GV2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22" s="1"/>
      </tp>
      <tp t="b">
        <v>1</v>
        <stp/>
        <stp>_x000B_EUR28Y9MZ=R_x0008_GV1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22" s="1"/>
      </tp>
    </main>
    <main first="pldatasource.rtgetrtdserver">
      <tp t="b">
        <v>1</v>
        <stp/>
        <stp>_x000B_EUR30Y6MZ=R_x0008_GV1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29" s="1"/>
      </tp>
      <tp t="b">
        <v>1</v>
        <stp/>
        <stp>_x000B_EUR30Y6MZ=R_x0008_GV2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29" s="1"/>
      </tp>
      <tp t="b">
        <v>1</v>
        <stp/>
        <stp>_x000B_EUR30Y3MZ=R_x0008_GV1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28" s="1"/>
      </tp>
      <tp t="b">
        <v>1</v>
        <stp/>
        <stp>_x000B_EUR30Y3MZ=R_x0008_GV2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28" s="1"/>
      </tp>
      <tp t="s">
        <v>#N/A The record could not be found</v>
        <stp/>
        <stp xml:space="preserve">	DE110466=_x0007_PRC_QL3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L12" s="1"/>
      </tp>
    </main>
    <main first="pldatasource.rtgetrtdserver">
      <tp t="s">
        <v>#N/A The record could not be found</v>
        <stp/>
        <stp>_x000B_EUR15Y6MZ=R_x0008_GV1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69" s="1"/>
      </tp>
      <tp t="s">
        <v>#N/A The record could not be found</v>
        <stp/>
        <stp>_x000B_EUR15Y6MZ=R_x0008_GV2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69" s="1"/>
      </tp>
      <tp t="b">
        <v>1</v>
        <stp/>
        <stp>_x000B_EUR15Y3MZ=R_x0008_GV1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68" s="1"/>
      </tp>
      <tp t="b">
        <v>1</v>
        <stp/>
        <stp>_x000B_EUR15Y3MZ=R_x0008_GV2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68" s="1"/>
      </tp>
      <tp t="s">
        <v>#N/A The record could not be found</v>
        <stp/>
        <stp>_x000B_EUR15Y9MZ=R_x0008_GV2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70" s="1"/>
      </tp>
      <tp t="s">
        <v>#N/A The record could not be found</v>
        <stp/>
        <stp>_x000B_EUR15Y9MZ=R_x0008_GV1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70" s="1"/>
      </tp>
      <tp t="b">
        <v>1</v>
        <stp/>
        <stp>_x000B_EUR14Y6MZ=R_x0008_GV1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65" s="1"/>
      </tp>
      <tp t="b">
        <v>1</v>
        <stp/>
        <stp>_x000B_EUR14Y6MZ=R_x0008_GV2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65" s="1"/>
      </tp>
      <tp t="s">
        <v>#N/A The record could not be found</v>
        <stp/>
        <stp>_x000B_EUR14Y3MZ=R_x0008_GV1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64" s="1"/>
      </tp>
      <tp t="s">
        <v>#N/A The record could not be found</v>
        <stp/>
        <stp>_x000B_EUR14Y3MZ=R_x0008_GV2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64" s="1"/>
      </tp>
      <tp t="s">
        <v>#N/A The record could not be found</v>
        <stp/>
        <stp>_x000B_EUR14Y9MZ=R_x0008_GV2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66" s="1"/>
      </tp>
      <tp t="s">
        <v>#N/A The record could not be found</v>
        <stp/>
        <stp>_x000B_EUR14Y9MZ=R_x0008_GV1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66" s="1"/>
      </tp>
      <tp t="s">
        <v>#N/A The record could not be found</v>
        <stp/>
        <stp>_x000B_EUR17Y6MZ=R_x0008_GV1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77" s="1"/>
      </tp>
      <tp t="s">
        <v>#N/A The record could not be found</v>
        <stp/>
        <stp>_x000B_EUR17Y6MZ=R_x0008_GV2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77" s="1"/>
      </tp>
      <tp t="s">
        <v>#N/A The record could not be found</v>
        <stp/>
        <stp>_x000B_EUR17Y3MZ=R_x0008_GV1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76" s="1"/>
      </tp>
      <tp t="s">
        <v>#N/A The record could not be found</v>
        <stp/>
        <stp>_x000B_EUR17Y3MZ=R_x0008_GV2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76" s="1"/>
      </tp>
      <tp t="b">
        <v>1</v>
        <stp/>
        <stp>_x000B_EUR17Y9MZ=R_x0008_GV2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78" s="1"/>
      </tp>
      <tp t="b">
        <v>1</v>
        <stp/>
        <stp>_x000B_EUR17Y9MZ=R_x0008_GV1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78" s="1"/>
      </tp>
      <tp t="s">
        <v>#N/A The record could not be found</v>
        <stp/>
        <stp>_x000B_EUR16Y6MZ=R_x0008_GV1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73" s="1"/>
      </tp>
      <tp t="s">
        <v>#N/A The record could not be found</v>
        <stp/>
        <stp>_x000B_EUR16Y6MZ=R_x0008_GV2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73" s="1"/>
      </tp>
      <tp t="s">
        <v>#N/A The record could not be found</v>
        <stp/>
        <stp>_x000B_EUR16Y3MZ=R_x0008_GV1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72" s="1"/>
      </tp>
      <tp t="s">
        <v>#N/A The record could not be found</v>
        <stp/>
        <stp>_x000B_EUR16Y3MZ=R_x0008_GV2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72" s="1"/>
      </tp>
      <tp t="s">
        <v>#N/A The record could not be found</v>
        <stp/>
        <stp>_x000B_EUR16Y9MZ=R_x0008_GV2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74" s="1"/>
      </tp>
      <tp t="s">
        <v>#N/A The record could not be found</v>
        <stp/>
        <stp>_x000B_EUR16Y9MZ=R_x0008_GV1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74" s="1"/>
      </tp>
      <tp t="b">
        <v>1</v>
        <stp/>
        <stp>_x000B_EUR11Y6MZ=R_x0008_GV1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53" s="1"/>
      </tp>
      <tp t="b">
        <v>1</v>
        <stp/>
        <stp>_x000B_EUR11Y6MZ=R_x0008_GV2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53" s="1"/>
      </tp>
      <tp t="b">
        <v>1</v>
        <stp/>
        <stp>_x000B_EUR11Y3MZ=R_x0008_GV1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52" s="1"/>
      </tp>
      <tp t="b">
        <v>1</v>
        <stp/>
        <stp>_x000B_EUR11Y3MZ=R_x0008_GV2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52" s="1"/>
      </tp>
      <tp t="b">
        <v>1</v>
        <stp/>
        <stp>_x000B_EUR11Y9MZ=R_x0008_GV2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54" s="1"/>
      </tp>
      <tp t="b">
        <v>1</v>
        <stp/>
        <stp>_x000B_EUR11Y9MZ=R_x0008_GV1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54" s="1"/>
      </tp>
      <tp t="s">
        <v>#N/A The record could not be found</v>
        <stp/>
        <stp>_x000B_EUR10Y6MZ=R_x0008_GV1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49" s="1"/>
      </tp>
      <tp t="s">
        <v>#N/A The record could not be found</v>
        <stp/>
        <stp>_x000B_EUR10Y6MZ=R_x0008_GV2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49" s="1"/>
      </tp>
      <tp t="s">
        <v>#N/A The record could not be found</v>
        <stp/>
        <stp>_x000B_EUR10Y3MZ=R_x0008_GV1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48" s="1"/>
      </tp>
      <tp t="s">
        <v>#N/A The record could not be found</v>
        <stp/>
        <stp>_x000B_EUR10Y3MZ=R_x0008_GV2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48" s="1"/>
      </tp>
      <tp t="b">
        <v>1</v>
        <stp/>
        <stp>_x000B_EUR10Y9MZ=R_x0008_GV2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50" s="1"/>
      </tp>
      <tp t="b">
        <v>1</v>
        <stp/>
        <stp>_x000B_EUR10Y9MZ=R_x0008_GV1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50" s="1"/>
      </tp>
      <tp t="s">
        <v>#N/A The record could not be found</v>
        <stp/>
        <stp>_x000B_EUR13Y6MZ=R_x0008_GV1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61" s="1"/>
      </tp>
      <tp t="s">
        <v>#N/A The record could not be found</v>
        <stp/>
        <stp>_x000B_EUR13Y6MZ=R_x0008_GV2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61" s="1"/>
      </tp>
      <tp t="s">
        <v>#N/A The record could not be found</v>
        <stp/>
        <stp>_x000B_EUR13Y3MZ=R_x0008_GV1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60" s="1"/>
      </tp>
      <tp t="s">
        <v>#N/A The record could not be found</v>
        <stp/>
        <stp>_x000B_EUR13Y3MZ=R_x0008_GV2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60" s="1"/>
      </tp>
      <tp t="b">
        <v>1</v>
        <stp/>
        <stp>_x000B_EUR13Y9MZ=R_x0008_GV2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62" s="1"/>
      </tp>
      <tp t="b">
        <v>1</v>
        <stp/>
        <stp>_x000B_EUR13Y9MZ=R_x0008_GV1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62" s="1"/>
      </tp>
      <tp t="b">
        <v>1</v>
        <stp/>
        <stp>_x000B_EUR12Y6MZ=R_x0008_GV1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57" s="1"/>
      </tp>
      <tp t="b">
        <v>1</v>
        <stp/>
        <stp>_x000B_EUR12Y6MZ=R_x0008_GV2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57" s="1"/>
      </tp>
      <tp t="s">
        <v>#N/A The record could not be found</v>
        <stp/>
        <stp>_x000B_EUR12Y3MZ=R_x0008_GV1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56" s="1"/>
      </tp>
      <tp t="s">
        <v>#N/A The record could not be found</v>
        <stp/>
        <stp>_x000B_EUR12Y3MZ=R_x0008_GV2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56" s="1"/>
      </tp>
      <tp t="s">
        <v>#N/A The record could not be found</v>
        <stp/>
        <stp>_x000B_EUR12Y9MZ=R_x0008_GV2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58" s="1"/>
      </tp>
      <tp t="s">
        <v>#N/A The record could not be found</v>
        <stp/>
        <stp>_x000B_EUR12Y9MZ=R_x0008_GV1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58" s="1"/>
      </tp>
      <tp t="b">
        <v>1</v>
        <stp/>
        <stp>_x000B_EUR19Y6MZ=R_x0008_GV1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85" s="1"/>
      </tp>
      <tp t="b">
        <v>1</v>
        <stp/>
        <stp>_x000B_EUR19Y6MZ=R_x0008_GV2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85" s="1"/>
      </tp>
      <tp t="b">
        <v>1</v>
        <stp/>
        <stp>_x000B_EUR19Y3MZ=R_x0008_GV1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84" s="1"/>
      </tp>
      <tp t="b">
        <v>1</v>
        <stp/>
        <stp>_x000B_EUR19Y3MZ=R_x0008_GV2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84" s="1"/>
      </tp>
      <tp t="b">
        <v>1</v>
        <stp/>
        <stp>_x000B_EUR19Y9MZ=R_x0008_GV2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86" s="1"/>
      </tp>
      <tp t="b">
        <v>1</v>
        <stp/>
        <stp>_x000B_EUR19Y9MZ=R_x0008_GV1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86" s="1"/>
      </tp>
      <tp t="s">
        <v>#N/A The record could not be found</v>
        <stp/>
        <stp>_x000B_EUR18Y6MZ=R_x0008_GV1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81" s="1"/>
      </tp>
      <tp t="s">
        <v>#N/A The record could not be found</v>
        <stp/>
        <stp>_x000B_EUR18Y6MZ=R_x0008_GV2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81" s="1"/>
      </tp>
      <tp t="s">
        <v>#N/A The record could not be found</v>
        <stp/>
        <stp>_x000B_EUR18Y3MZ=R_x0008_GV1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80" s="1"/>
      </tp>
      <tp t="s">
        <v>#N/A The record could not be found</v>
        <stp/>
        <stp>_x000B_EUR18Y3MZ=R_x0008_GV2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80" s="1"/>
      </tp>
      <tp t="b">
        <v>1</v>
        <stp/>
        <stp>_x000B_EUR18Y9MZ=R_x0008_GV2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82" s="1"/>
      </tp>
      <tp t="b">
        <v>1</v>
        <stp/>
        <stp>_x000B_EUR18Y9MZ=R_x0008_GV1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82" s="1"/>
      </tp>
    </main>
    <main first="pldatasource.rtgetrtdserver">
      <tp t="s">
        <v>#N/A The record could not be found</v>
        <stp/>
        <stp xml:space="preserve">	DE114168=_x0008_CURRENCY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O3" s="1"/>
      </tp>
    </main>
    <main first="pldatasource.rdatartdserver">
      <tp t="s">
        <v>Updated at 18:31:27</v>
        <stp/>
        <stp>{D7269694-F77E-4480-8586-5E0D5DA036B1}</stp>
        <tr r="K37" s="1"/>
      </tp>
    </main>
    <main first="pldatasource.rtgetrtdserver">
      <tp>
        <v>43913</v>
        <stp/>
        <stp>_x0008_EURTNZ=R_x0008_GV1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4" s="1"/>
      </tp>
    </main>
    <main first="pldatasource.rtgetrtdserver">
      <tp t="b">
        <v>1</v>
        <stp/>
        <stp xml:space="preserve">
EUR1Y3MZ=R_x000F_SECOND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2" s="1"/>
      </tp>
      <tp t="b">
        <v>1</v>
        <stp/>
        <stp xml:space="preserve">
EUR1Y6MZ=R_x000F_SECOND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3" s="1"/>
      </tp>
      <tp>
        <v>1.0057744850000001</v>
        <stp/>
        <stp xml:space="preserve">
EUR1Y9MZ=R_x000F_SECOND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4" s="1"/>
      </tp>
    </main>
    <main first="pldatasource.rdatartdserver">
      <tp t="s">
        <v>Updated at 18:29:33</v>
        <stp/>
        <stp>{DBF99028-40CC-4DDC-9E6C-3E761C0024DE}</stp>
        <tr r="K14" s="1"/>
      </tp>
    </main>
    <main first="pldatasource.rtgetrtdserver">
      <tp t="b">
        <v>1</v>
        <stp/>
        <stp xml:space="preserve">
EUR3Y3MZ=R_x000F_SECOND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20" s="1"/>
      </tp>
      <tp>
        <v>1.008665218</v>
        <stp/>
        <stp xml:space="preserve">
EUR3Y6MZ=R_x000F_SECOND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21" s="1"/>
      </tp>
      <tp>
        <v>1.0087859850000001</v>
        <stp/>
        <stp xml:space="preserve">
EUR3Y9MZ=R_x000F_SECOND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22" s="1"/>
      </tp>
    </main>
    <main first="pldatasource.rdatartdserver">
      <tp t="s">
        <v>Retrieving...</v>
        <stp/>
        <stp>{E7E1C05C-1DB6-427D-AD11-7635C4DB1972}</stp>
        <tr r="N37" s="1"/>
      </tp>
    </main>
    <main first="pldatasource.rtgetrtdserver">
      <tp>
        <v>43915</v>
        <stp/>
        <stp>_x0008_EURTNZ=R_x0008_GV2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4" s="1"/>
      </tp>
      <tp t="b">
        <v>1</v>
        <stp/>
        <stp xml:space="preserve">
EUR2Y3MZ=R_x000F_SECOND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6" s="1"/>
      </tp>
      <tp>
        <v>1.007041995</v>
        <stp/>
        <stp xml:space="preserve">
EUR2Y6MZ=R_x000F_SECOND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7" s="1"/>
      </tp>
      <tp t="b">
        <v>1</v>
        <stp/>
        <stp xml:space="preserve">
EUR2Y9MZ=R_x000F_SECOND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8" s="1"/>
      </tp>
    </main>
    <main first="pldatasource.rtgetrtdserver">
      <tp t="b">
        <v>1</v>
        <stp/>
        <stp xml:space="preserve">
EUR5Y3MZ=R_x000F_SECOND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28" s="1"/>
      </tp>
      <tp>
        <v>1.0078085050000001</v>
        <stp/>
        <stp xml:space="preserve">
EUR5Y6MZ=R_x000F_SECOND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29" s="1"/>
      </tp>
      <tp>
        <v>1.007461537</v>
        <stp/>
        <stp xml:space="preserve">
EUR5Y9MZ=R_x000F_SECOND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30" s="1"/>
      </tp>
    </main>
    <main first="pldatasource.rtgetrtdserver">
      <tp>
        <v>0</v>
        <stp/>
        <stp>_x000E_S30127000E0.S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AB10" s="1"/>
      </tp>
      <tp t="b">
        <v>1</v>
        <stp/>
        <stp xml:space="preserve">
EUR4Y3MZ=R_x000F_SECOND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24" s="1"/>
      </tp>
      <tp>
        <v>1.0086914820000001</v>
        <stp/>
        <stp xml:space="preserve">
EUR4Y6MZ=R_x000F_SECOND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25" s="1"/>
      </tp>
      <tp t="b">
        <v>1</v>
        <stp/>
        <stp xml:space="preserve">
EUR4Y9MZ=R_x000F_SECOND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26" s="1"/>
      </tp>
      <tp>
        <v>0</v>
        <stp/>
        <stp>_x000E_S30127000E0.S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AB11" s="1"/>
      </tp>
      <tp>
        <v>1.0047028140000001</v>
        <stp/>
        <stp xml:space="preserve">
EUR7Y3MZ=R_x000F_SECOND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36" s="1"/>
      </tp>
      <tp t="b">
        <v>1</v>
        <stp/>
        <stp xml:space="preserve">
EUR7Y6MZ=R_x000F_SECOND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37" s="1"/>
      </tp>
      <tp>
        <v>1.003496495</v>
        <stp/>
        <stp xml:space="preserve">
EUR7Y9MZ=R_x000F_SECOND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38" s="1"/>
      </tp>
    </main>
    <main first="pldatasource.rdatartdserver">
      <tp t="s">
        <v>Updated at 18:29:33</v>
        <stp/>
        <stp>{2FC71F49-E05C-461F-AB09-1B9A04DE72B6}</stp>
        <tr r="AA18" s="1"/>
      </tp>
      <tp t="s">
        <v>Retrieving...</v>
        <stp/>
        <stp>{60A4798B-D853-468C-8899-9CB8C78262C0}</stp>
        <tr r="U106" s="1"/>
      </tp>
    </main>
    <main first="pldatasource.rtgetrtdserver">
      <tp t="b">
        <v>1</v>
        <stp/>
        <stp xml:space="preserve">
EUR6Y3MZ=R_x000F_SECOND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32" s="1"/>
      </tp>
      <tp t="b">
        <v>1</v>
        <stp/>
        <stp xml:space="preserve">
EUR6Y6MZ=R_x000F_SECOND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33" s="1"/>
      </tp>
      <tp t="b">
        <v>1</v>
        <stp/>
        <stp xml:space="preserve">
EUR6Y9MZ=R_x000F_SECOND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34" s="1"/>
      </tp>
      <tp t="b">
        <v>1</v>
        <stp/>
        <stp xml:space="preserve">
EUR9Y3MZ=R_x000F_SECOND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44" s="1"/>
      </tp>
      <tp>
        <v>0.99843504800000005</v>
        <stp/>
        <stp xml:space="preserve">
EUR9Y6MZ=R_x000F_SECOND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45" s="1"/>
      </tp>
      <tp t="b">
        <v>1</v>
        <stp/>
        <stp xml:space="preserve">
EUR9Y9MZ=R_x000F_SECOND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46" s="1"/>
      </tp>
      <tp>
        <v>1.00219923</v>
        <stp/>
        <stp xml:space="preserve">
EUR8Y3MZ=R_x000F_SECOND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40" s="1"/>
      </tp>
      <tp t="b">
        <v>1</v>
        <stp/>
        <stp xml:space="preserve">
EUR8Y6MZ=R_x000F_SECOND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41" s="1"/>
      </tp>
      <tp t="b">
        <v>1</v>
        <stp/>
        <stp xml:space="preserve">
EUR8Y9MZ=R_x000F_SECOND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42" s="1"/>
      </tp>
    </main>
    <main first="pldatasource.rdatartdserver">
      <tp t="s">
        <v>Updated at 18:29:33</v>
        <stp/>
        <stp>{BB7A09D8-A015-48E7-B3E9-5B38F4F63CCB}</stp>
        <tr r="N14" s="1"/>
      </tp>
    </main>
    <main first="pldatasource.rtgetrtdserver">
      <tp>
        <v>43966</v>
        <stp/>
        <stp>_x000E_S30127000E0.ST_x000B_EXPIRE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AB6" s="1"/>
      </tp>
      <tp>
        <v>1.0004343440000001</v>
        <stp/>
        <stp>_x0008_EUR1MZ=R_x000F_SECOND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6" s="1"/>
      </tp>
      <tp>
        <v>1.002945561</v>
        <stp/>
        <stp>_x0008_EUR1YZ=R_x000F_SECOND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1" s="1"/>
      </tp>
      <tp t="b">
        <v>1</v>
        <stp/>
        <stp>_x0008_EUR1WZ=R_x000F_SECOND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5" s="1"/>
      </tp>
      <tp t="b">
        <v>1</v>
        <stp/>
        <stp>_x0008_EUR2MZ=R_x000F_SECOND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7" s="1"/>
      </tp>
      <tp>
        <v>1.006108953</v>
        <stp/>
        <stp>_x0008_EUR2YZ=R_x000F_SECOND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5" s="1"/>
      </tp>
      <tp t="b">
        <v>1</v>
        <stp/>
        <stp>_x0008_EUR3MZ=R_x000F_SECOND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8" s="1"/>
      </tp>
      <tp t="b">
        <v>1</v>
        <stp/>
        <stp>_x0008_EUR3YZ=R_x000F_SECOND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9" s="1"/>
      </tp>
      <tp t="b">
        <v>1</v>
        <stp/>
        <stp>_x0008_EUR4YZ=R_x000F_SECOND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23" s="1"/>
      </tp>
      <tp>
        <v>1.0083482020000001</v>
        <stp/>
        <stp>_x0008_EUR5YZ=R_x000F_SECOND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27" s="1"/>
      </tp>
      <tp t="b">
        <v>1</v>
        <stp/>
        <stp>_x0008_EUR6MZ=R_x000F_SECOND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9" s="1"/>
      </tp>
      <tp t="b">
        <v>1</v>
        <stp/>
        <stp>_x0008_EUR6YZ=R_x000F_SECOND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31" s="1"/>
      </tp>
      <tp t="b">
        <v>1</v>
        <stp/>
        <stp>_x0008_EUR7YZ=R_x000F_SECOND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35" s="1"/>
      </tp>
      <tp t="b">
        <v>1</v>
        <stp/>
        <stp xml:space="preserve">	EUR27YZ=R_x000F_SECOND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15" s="1"/>
      </tp>
      <tp t="b">
        <v>1</v>
        <stp/>
        <stp xml:space="preserve">	EUR26YZ=R_x000F_SECOND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11" s="1"/>
      </tp>
      <tp t="b">
        <v>1</v>
        <stp/>
        <stp xml:space="preserve">	EUR25YZ=R_x000F_SECOND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07" s="1"/>
      </tp>
      <tp t="b">
        <v>1</v>
        <stp/>
        <stp xml:space="preserve">	EUR24YZ=R_x000F_SECOND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03" s="1"/>
      </tp>
      <tp t="b">
        <v>1</v>
        <stp/>
        <stp xml:space="preserve">	EUR23YZ=R_x000F_SECOND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99" s="1"/>
      </tp>
      <tp t="b">
        <v>1</v>
        <stp/>
        <stp xml:space="preserve">	EUR22YZ=R_x000F_SECOND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95" s="1"/>
      </tp>
      <tp t="b">
        <v>1</v>
        <stp/>
        <stp xml:space="preserve">	EUR21YZ=R_x000F_SECOND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91" s="1"/>
      </tp>
      <tp t="b">
        <v>1</v>
        <stp/>
        <stp xml:space="preserve">	EUR20YZ=R_x000F_SECOND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87" s="1"/>
      </tp>
      <tp t="b">
        <v>1</v>
        <stp/>
        <stp xml:space="preserve">	EUR29YZ=R_x000F_SECOND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23" s="1"/>
      </tp>
      <tp t="s">
        <v>#N/A The record could not be found</v>
        <stp/>
        <stp xml:space="preserve">	EUR28YZ=R_x000F_SECOND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19" s="1"/>
      </tp>
      <tp t="b">
        <v>1</v>
        <stp/>
        <stp>_x0008_EURONZ=R_x0008_GV2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3" s="1"/>
      </tp>
      <tp t="b">
        <v>1</v>
        <stp/>
        <stp>_x0008_EUR8YZ=R_x000F_SECOND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39" s="1"/>
      </tp>
      <tp t="b">
        <v>1</v>
        <stp/>
        <stp xml:space="preserve">	EUR30YZ=R_x000F_SECOND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27" s="1"/>
      </tp>
      <tp t="b">
        <v>1</v>
        <stp/>
        <stp>_x0008_EUR9MZ=R_x000F_SECOND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0" s="1"/>
      </tp>
      <tp>
        <v>1.0000416090000002</v>
        <stp/>
        <stp>_x0008_EUR9YZ=R_x000F_SECOND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43" s="1"/>
      </tp>
      <tp t="s">
        <v>#N/A The record could not be found</v>
        <stp/>
        <stp xml:space="preserve">	EUR17YZ=R_x000F_SECOND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75" s="1"/>
      </tp>
      <tp t="b">
        <v>1</v>
        <stp/>
        <stp xml:space="preserve">	EUR16YZ=R_x000F_SECOND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71" s="1"/>
      </tp>
      <tp>
        <v>0.9757837760000001</v>
        <stp/>
        <stp xml:space="preserve">	EUR15YZ=R_x000F_SECOND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67" s="1"/>
      </tp>
      <tp t="b">
        <v>1</v>
        <stp/>
        <stp xml:space="preserve">	EUR14YZ=R_x000F_SECOND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63" s="1"/>
      </tp>
      <tp>
        <v>0.98442651600000008</v>
        <stp/>
        <stp xml:space="preserve">	EUR13YZ=R_x000F_SECOND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59" s="1"/>
      </tp>
      <tp>
        <v>0.98885542800000004</v>
        <stp/>
        <stp xml:space="preserve">	EUR12YZ=R_x000F_SECOND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55" s="1"/>
      </tp>
      <tp t="b">
        <v>1</v>
        <stp/>
        <stp xml:space="preserve">	EUR11YZ=R_x000F_SECOND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51" s="1"/>
      </tp>
      <tp t="b">
        <v>1</v>
        <stp/>
        <stp xml:space="preserve">	EUR10YZ=R_x000F_SECOND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47" s="1"/>
      </tp>
      <tp t="b">
        <v>1</v>
        <stp/>
        <stp xml:space="preserve">	EUR19YZ=R_x000F_SECOND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83" s="1"/>
      </tp>
      <tp t="s">
        <v>#N/A The record could not be found</v>
        <stp/>
        <stp xml:space="preserve">	EUR18YZ=R_x000F_SECOND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79" s="1"/>
      </tp>
      <tp t="b">
        <v>1</v>
        <stp/>
        <stp>_x0008_EURONZ=R_x0008_GV1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3" s="1"/>
      </tp>
    </main>
    <main first="pldatasource.rhistoryrtdserver">
      <tp t="s">
        <v>Updated at 18:29:33</v>
        <stp/>
        <stp>{9AC5CFB6-A939-4373-B325-9618091CFF9A}_x0000_</stp>
        <tr r="A2" s="10"/>
      </tp>
    </main>
    <main first="pldatasource.rtgetrtdserver">
      <tp t="s">
        <v>C-EU</v>
        <stp/>
        <stp>_x000E_S30127000E0.ST_x000D_PUT/CALL FLAG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AB9" s="1"/>
      </tp>
      <tp t="s">
        <v>#N/A The record could not be found</v>
        <stp/>
        <stp xml:space="preserve">	DE114168=_x000B_COUPON R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O8" s="1"/>
      </tp>
      <tp>
        <v>43966</v>
        <stp/>
        <stp>_x0008_OMXS30K0_x000B_EXPIRE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Y6" s="1"/>
      </tp>
      <tp t="s">
        <v>#N/A The record could not be found</v>
        <stp/>
        <stp xml:space="preserve">	DE114168=	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O11" s="1"/>
      </tp>
      <tp t="s">
        <v>#N/A The record could not be found</v>
        <stp/>
        <stp xml:space="preserve">	DE110466=	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L10" s="1"/>
      </tp>
      <tp t="s">
        <v>#N/A The record could not be found</v>
        <stp/>
        <stp xml:space="preserve">	DE110466=	SEC YLD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L9" s="1"/>
      </tp>
      <tp t="s">
        <v>#N/A The record could not be found</v>
        <stp/>
        <stp xml:space="preserve">	DE114168=	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O12" s="1"/>
      </tp>
      <tp t="s">
        <v>#N/A The record could not be found</v>
        <stp/>
        <stp xml:space="preserve">	DE114168=	SEC YLD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O10" s="1"/>
      </tp>
      <tp t="s">
        <v>#N/A The record could not be found</v>
        <stp/>
        <stp xml:space="preserve">	DE110466=	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L11" s="1"/>
      </tp>
      <tp t="s">
        <v>#N/A The record could not be found</v>
        <stp/>
        <stp>_x000B_EUR24Y3MZ=R_x000F_SECOND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04" s="1"/>
      </tp>
      <tp t="s">
        <v>#N/A The record could not be found</v>
        <stp/>
        <stp>_x000B_EUR24Y6MZ=R_x000F_SECOND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05" s="1"/>
      </tp>
      <tp t="b">
        <v>1</v>
        <stp/>
        <stp>_x000B_EUR24Y9MZ=R_x000F_SECOND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06" s="1"/>
      </tp>
      <tp t="s">
        <v>#N/A The record could not be found</v>
        <stp/>
        <stp>_x000B_EUR25Y3MZ=R_x000F_SECOND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08" s="1"/>
      </tp>
      <tp t="b">
        <v>1</v>
        <stp/>
        <stp>_x000B_EUR25Y6MZ=R_x000F_SECOND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09" s="1"/>
      </tp>
      <tp t="b">
        <v>1</v>
        <stp/>
        <stp>_x000B_EUR25Y9MZ=R_x000F_SECOND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10" s="1"/>
      </tp>
      <tp t="b">
        <v>1</v>
        <stp/>
        <stp>_x000B_EUR26Y3MZ=R_x000F_SECOND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12" s="1"/>
      </tp>
      <tp t="b">
        <v>1</v>
        <stp/>
        <stp>_x000B_EUR26Y6MZ=R_x000F_SECOND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13" s="1"/>
      </tp>
      <tp t="s">
        <v>#N/A The record could not be found</v>
        <stp/>
        <stp>_x000B_EUR26Y9MZ=R_x000F_SECOND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14" s="1"/>
      </tp>
      <tp t="b">
        <v>1</v>
        <stp/>
        <stp>_x000B_EUR27Y3MZ=R_x000F_SECOND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16" s="1"/>
      </tp>
      <tp t="b">
        <v>1</v>
        <stp/>
        <stp>_x000B_EUR27Y6MZ=R_x000F_SECOND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17" s="1"/>
      </tp>
      <tp t="b">
        <v>1</v>
        <stp/>
        <stp>_x000B_EUR27Y9MZ=R_x000F_SECOND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18" s="1"/>
      </tp>
      <tp t="s">
        <v>#N/A The record could not be found</v>
        <stp/>
        <stp>_x000B_EUR20Y3MZ=R_x000F_SECOND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88" s="1"/>
      </tp>
      <tp t="b">
        <v>1</v>
        <stp/>
        <stp>_x000B_EUR20Y6MZ=R_x000F_SECOND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89" s="1"/>
      </tp>
      <tp t="b">
        <v>1</v>
        <stp/>
        <stp>_x000B_EUR20Y9MZ=R_x000F_SECOND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90" s="1"/>
      </tp>
      <tp t="b">
        <v>1</v>
        <stp/>
        <stp>_x000B_EUR21Y3MZ=R_x000F_SECOND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92" s="1"/>
      </tp>
      <tp t="b">
        <v>1</v>
        <stp/>
        <stp>_x000B_EUR21Y6MZ=R_x000F_SECOND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93" s="1"/>
      </tp>
      <tp t="b">
        <v>1</v>
        <stp/>
        <stp>_x000B_EUR21Y9MZ=R_x000F_SECOND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94" s="1"/>
      </tp>
      <tp t="b">
        <v>1</v>
        <stp/>
        <stp>_x000B_EUR22Y3MZ=R_x000F_SECOND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96" s="1"/>
      </tp>
      <tp t="b">
        <v>1</v>
        <stp/>
        <stp>_x000B_EUR22Y6MZ=R_x000F_SECOND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97" s="1"/>
      </tp>
      <tp t="b">
        <v>1</v>
        <stp/>
        <stp>_x000B_EUR22Y9MZ=R_x000F_SECOND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98" s="1"/>
      </tp>
      <tp t="b">
        <v>1</v>
        <stp/>
        <stp>_x000B_EUR23Y3MZ=R_x000F_SECOND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00" s="1"/>
      </tp>
      <tp t="b">
        <v>1</v>
        <stp/>
        <stp>_x000B_EUR23Y6MZ=R_x000F_SECOND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01" s="1"/>
      </tp>
      <tp t="b">
        <v>1</v>
        <stp/>
        <stp>_x000B_EUR23Y9MZ=R_x000F_SECOND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02" s="1"/>
      </tp>
      <tp t="b">
        <v>1</v>
        <stp/>
        <stp>_x000B_EUR28Y3MZ=R_x000F_SECOND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20" s="1"/>
      </tp>
      <tp t="b">
        <v>1</v>
        <stp/>
        <stp>_x000B_EUR28Y6MZ=R_x000F_SECOND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21" s="1"/>
      </tp>
      <tp t="b">
        <v>1</v>
        <stp/>
        <stp>_x000B_EUR28Y9MZ=R_x000F_SECOND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22" s="1"/>
      </tp>
      <tp t="s">
        <v>#N/A The record could not be found</v>
        <stp/>
        <stp>_x000B_EUR29Y3MZ=R_x000F_SECOND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24" s="1"/>
      </tp>
      <tp t="b">
        <v>1</v>
        <stp/>
        <stp>_x000B_EUR29Y6MZ=R_x000F_SECOND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25" s="1"/>
      </tp>
      <tp t="s">
        <v>#N/A The record could not be found</v>
        <stp/>
        <stp>_x000B_EUR29Y9MZ=R_x000F_SECOND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26" s="1"/>
      </tp>
      <tp t="b">
        <v>1</v>
        <stp/>
        <stp>_x000B_EUR30Y3MZ=R_x000F_SECOND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28" s="1"/>
      </tp>
      <tp t="b">
        <v>1</v>
        <stp/>
        <stp>_x000B_EUR30Y6MZ=R_x000F_SECOND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129" s="1"/>
      </tp>
      <tp t="s">
        <v>#N/A The record could not be found</v>
        <stp/>
        <stp>_x000B_EUR14Y3MZ=R_x000F_SECOND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64" s="1"/>
      </tp>
      <tp t="b">
        <v>1</v>
        <stp/>
        <stp>_x000B_EUR14Y6MZ=R_x000F_SECOND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65" s="1"/>
      </tp>
      <tp t="s">
        <v>#N/A The record could not be found</v>
        <stp/>
        <stp>_x000B_EUR14Y9MZ=R_x000F_SECOND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66" s="1"/>
      </tp>
      <tp t="b">
        <v>1</v>
        <stp/>
        <stp>_x000B_EUR15Y3MZ=R_x000F_SECOND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68" s="1"/>
      </tp>
      <tp t="s">
        <v>#N/A The record could not be found</v>
        <stp/>
        <stp>_x000B_EUR15Y6MZ=R_x000F_SECOND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69" s="1"/>
      </tp>
      <tp t="s">
        <v>#N/A The record could not be found</v>
        <stp/>
        <stp>_x000B_EUR15Y9MZ=R_x000F_SECOND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70" s="1"/>
      </tp>
      <tp t="s">
        <v>#N/A The record could not be found</v>
        <stp/>
        <stp>_x000B_EUR16Y3MZ=R_x000F_SECOND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72" s="1"/>
      </tp>
      <tp t="s">
        <v>#N/A The record could not be found</v>
        <stp/>
        <stp>_x000B_EUR16Y6MZ=R_x000F_SECOND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73" s="1"/>
      </tp>
      <tp t="s">
        <v>#N/A The record could not be found</v>
        <stp/>
        <stp>_x000B_EUR16Y9MZ=R_x000F_SECOND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74" s="1"/>
      </tp>
      <tp t="s">
        <v>#N/A The record could not be found</v>
        <stp/>
        <stp>_x000B_EUR17Y3MZ=R_x000F_SECOND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76" s="1"/>
      </tp>
      <tp t="s">
        <v>#N/A The record could not be found</v>
        <stp/>
        <stp>_x000B_EUR17Y6MZ=R_x000F_SECOND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77" s="1"/>
      </tp>
      <tp t="b">
        <v>1</v>
        <stp/>
        <stp>_x000B_EUR17Y9MZ=R_x000F_SECOND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78" s="1"/>
      </tp>
      <tp t="s">
        <v>#N/A The record could not be found</v>
        <stp/>
        <stp>_x000B_EUR10Y3MZ=R_x000F_SECOND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48" s="1"/>
      </tp>
      <tp t="s">
        <v>#N/A The record could not be found</v>
        <stp/>
        <stp>_x000B_EUR10Y6MZ=R_x000F_SECOND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49" s="1"/>
      </tp>
      <tp t="b">
        <v>1</v>
        <stp/>
        <stp>_x000B_EUR10Y9MZ=R_x000F_SECOND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50" s="1"/>
      </tp>
      <tp t="b">
        <v>1</v>
        <stp/>
        <stp>_x000B_EUR11Y3MZ=R_x000F_SECOND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52" s="1"/>
      </tp>
      <tp t="b">
        <v>1</v>
        <stp/>
        <stp>_x000B_EUR11Y6MZ=R_x000F_SECOND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53" s="1"/>
      </tp>
      <tp t="b">
        <v>1</v>
        <stp/>
        <stp>_x000B_EUR11Y9MZ=R_x000F_SECOND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54" s="1"/>
      </tp>
      <tp t="s">
        <v>#N/A The record could not be found</v>
        <stp/>
        <stp>_x000B_EUR12Y3MZ=R_x000F_SECOND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56" s="1"/>
      </tp>
      <tp t="b">
        <v>1</v>
        <stp/>
        <stp>_x000B_EUR12Y6MZ=R_x000F_SECOND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57" s="1"/>
      </tp>
      <tp t="s">
        <v>#N/A The record could not be found</v>
        <stp/>
        <stp>_x000B_EUR12Y9MZ=R_x000F_SECOND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58" s="1"/>
      </tp>
      <tp t="s">
        <v>#N/A The record could not be found</v>
        <stp/>
        <stp>_x000B_EUR13Y3MZ=R_x000F_SECOND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60" s="1"/>
      </tp>
      <tp t="s">
        <v>#N/A The record could not be found</v>
        <stp/>
        <stp>_x000B_EUR13Y6MZ=R_x000F_SECOND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61" s="1"/>
      </tp>
      <tp t="b">
        <v>1</v>
        <stp/>
        <stp>_x000B_EUR13Y9MZ=R_x000F_SECOND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62" s="1"/>
      </tp>
      <tp t="s">
        <v>#N/A The record could not be found</v>
        <stp/>
        <stp>_x000B_EUR18Y3MZ=R_x000F_SECOND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80" s="1"/>
      </tp>
      <tp t="s">
        <v>#N/A The record could not be found</v>
        <stp/>
        <stp>_x000B_EUR18Y6MZ=R_x000F_SECOND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81" s="1"/>
      </tp>
      <tp t="b">
        <v>1</v>
        <stp/>
        <stp>_x000B_EUR18Y9MZ=R_x000F_SECOND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82" s="1"/>
      </tp>
      <tp t="b">
        <v>1</v>
        <stp/>
        <stp>_x000B_EUR19Y3MZ=R_x000F_SECOND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84" s="1"/>
      </tp>
      <tp t="b">
        <v>1</v>
        <stp/>
        <stp>_x000B_EUR19Y6MZ=R_x000F_SECOND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85" s="1"/>
      </tp>
      <tp t="b">
        <v>1</v>
        <stp/>
        <stp>_x000B_EUR19Y9MZ=R_x000F_SECOND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F86" s="1"/>
      </tp>
      <tp t="s">
        <v>#N/A The record could not be found</v>
        <stp/>
        <stp xml:space="preserve">	DE110466=_x000D_MATURITY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L7" s="1"/>
      </tp>
      <tp t="s">
        <v>#N/A The record could not be found</v>
        <stp/>
        <stp xml:space="preserve">	DE114168=_x000D_MATURITY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O7" s="1"/>
      </tp>
      <tp t="b">
        <v>1</v>
        <stp/>
        <stp xml:space="preserve">
EUR1Y6MZ=R_x0008_GV1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3" s="1"/>
      </tp>
      <tp t="b">
        <v>1</v>
        <stp/>
        <stp xml:space="preserve">
EUR1Y6MZ=R_x0008_GV2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3" s="1"/>
      </tp>
      <tp t="b">
        <v>1</v>
        <stp/>
        <stp xml:space="preserve">
EUR1Y3MZ=R_x0008_GV1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2" s="1"/>
      </tp>
      <tp t="b">
        <v>1</v>
        <stp/>
        <stp xml:space="preserve">
EUR1Y3MZ=R_x0008_GV2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2" s="1"/>
      </tp>
      <tp>
        <v>44557</v>
        <stp/>
        <stp xml:space="preserve">
EUR1Y9MZ=R_x0008_GV2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4" s="1"/>
      </tp>
      <tp>
        <v>43913</v>
        <stp/>
        <stp xml:space="preserve">
EUR1Y9MZ=R_x0008_GV1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4" s="1"/>
      </tp>
      <tp>
        <v>43913</v>
        <stp/>
        <stp xml:space="preserve">
EUR2Y6MZ=R_x0008_GV1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7" s="1"/>
      </tp>
      <tp>
        <v>44830</v>
        <stp/>
        <stp xml:space="preserve">
EUR2Y6MZ=R_x0008_GV2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7" s="1"/>
      </tp>
      <tp t="b">
        <v>1</v>
        <stp/>
        <stp xml:space="preserve">
EUR2Y3MZ=R_x0008_GV1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6" s="1"/>
      </tp>
      <tp t="b">
        <v>1</v>
        <stp/>
        <stp xml:space="preserve">
EUR2Y3MZ=R_x0008_GV2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6" s="1"/>
      </tp>
      <tp t="b">
        <v>1</v>
        <stp/>
        <stp xml:space="preserve">
EUR2Y9MZ=R_x0008_GV2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18" s="1"/>
      </tp>
      <tp t="b">
        <v>1</v>
        <stp/>
        <stp xml:space="preserve">
EUR2Y9MZ=R_x0008_GV1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18" s="1"/>
      </tp>
      <tp>
        <v>43913</v>
        <stp/>
        <stp xml:space="preserve">
EUR3Y6MZ=R_x0008_GV1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21" s="1"/>
      </tp>
      <tp>
        <v>45194</v>
        <stp/>
        <stp xml:space="preserve">
EUR3Y6MZ=R_x0008_GV2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21" s="1"/>
      </tp>
      <tp t="b">
        <v>1</v>
        <stp/>
        <stp xml:space="preserve">
EUR3Y3MZ=R_x0008_GV1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20" s="1"/>
      </tp>
      <tp t="b">
        <v>1</v>
        <stp/>
        <stp xml:space="preserve">
EUR3Y3MZ=R_x0008_GV2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20" s="1"/>
      </tp>
      <tp>
        <v>45287</v>
        <stp/>
        <stp xml:space="preserve">
EUR3Y9MZ=R_x0008_GV2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22" s="1"/>
      </tp>
      <tp>
        <v>43913</v>
        <stp/>
        <stp xml:space="preserve">
EUR3Y9MZ=R_x0008_GV1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22" s="1"/>
      </tp>
      <tp>
        <v>43913</v>
        <stp/>
        <stp xml:space="preserve">
EUR4Y6MZ=R_x0008_GV1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25" s="1"/>
      </tp>
      <tp>
        <v>45560</v>
        <stp/>
        <stp xml:space="preserve">
EUR4Y6MZ=R_x0008_GV2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25" s="1"/>
      </tp>
      <tp t="b">
        <v>1</v>
        <stp/>
        <stp xml:space="preserve">
EUR4Y3MZ=R_x0008_GV1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24" s="1"/>
      </tp>
      <tp t="b">
        <v>1</v>
        <stp/>
        <stp xml:space="preserve">
EUR4Y3MZ=R_x0008_GV2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24" s="1"/>
      </tp>
      <tp t="b">
        <v>1</v>
        <stp/>
        <stp xml:space="preserve">
EUR4Y9MZ=R_x0008_GV2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26" s="1"/>
      </tp>
      <tp t="b">
        <v>1</v>
        <stp/>
        <stp xml:space="preserve">
EUR4Y9MZ=R_x0008_GV1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26" s="1"/>
      </tp>
      <tp>
        <v>43913</v>
        <stp/>
        <stp xml:space="preserve">
EUR5Y6MZ=R_x0008_GV1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29" s="1"/>
      </tp>
      <tp>
        <v>45925</v>
        <stp/>
        <stp xml:space="preserve">
EUR5Y6MZ=R_x0008_GV2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29" s="1"/>
      </tp>
      <tp t="b">
        <v>1</v>
        <stp/>
        <stp xml:space="preserve">
EUR5Y3MZ=R_x0008_GV1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28" s="1"/>
      </tp>
      <tp t="b">
        <v>1</v>
        <stp/>
        <stp xml:space="preserve">
EUR5Y3MZ=R_x0008_GV2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28" s="1"/>
      </tp>
      <tp>
        <v>46020</v>
        <stp/>
        <stp xml:space="preserve">
EUR5Y9MZ=R_x0008_GV2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30" s="1"/>
      </tp>
      <tp>
        <v>43913</v>
        <stp/>
        <stp xml:space="preserve">
EUR5Y9MZ=R_x0008_GV1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30" s="1"/>
      </tp>
      <tp t="b">
        <v>1</v>
        <stp/>
        <stp xml:space="preserve">
EUR6Y6MZ=R_x0008_GV1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33" s="1"/>
      </tp>
      <tp t="b">
        <v>1</v>
        <stp/>
        <stp xml:space="preserve">
EUR6Y6MZ=R_x0008_GV2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33" s="1"/>
      </tp>
      <tp t="b">
        <v>1</v>
        <stp/>
        <stp xml:space="preserve">
EUR6Y3MZ=R_x0008_GV1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32" s="1"/>
      </tp>
      <tp t="b">
        <v>1</v>
        <stp/>
        <stp xml:space="preserve">
EUR6Y3MZ=R_x0008_GV2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32" s="1"/>
      </tp>
      <tp t="b">
        <v>1</v>
        <stp/>
        <stp xml:space="preserve">
EUR6Y9MZ=R_x0008_GV2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34" s="1"/>
      </tp>
      <tp t="b">
        <v>1</v>
        <stp/>
        <stp xml:space="preserve">
EUR6Y9MZ=R_x0008_GV1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34" s="1"/>
      </tp>
      <tp t="b">
        <v>1</v>
        <stp/>
        <stp xml:space="preserve">
EUR7Y6MZ=R_x0008_GV1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37" s="1"/>
      </tp>
      <tp t="b">
        <v>1</v>
        <stp/>
        <stp xml:space="preserve">
EUR7Y6MZ=R_x0008_GV2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37" s="1"/>
      </tp>
      <tp>
        <v>43913</v>
        <stp/>
        <stp xml:space="preserve">
EUR7Y3MZ=R_x0008_GV1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36" s="1"/>
      </tp>
      <tp>
        <v>46563</v>
        <stp/>
        <stp xml:space="preserve">
EUR7Y3MZ=R_x0008_GV2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36" s="1"/>
      </tp>
      <tp>
        <v>46748</v>
        <stp/>
        <stp xml:space="preserve">
EUR7Y9MZ=R_x0008_GV2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38" s="1"/>
      </tp>
      <tp>
        <v>43913</v>
        <stp/>
        <stp xml:space="preserve">
EUR7Y9MZ=R_x0008_GV1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38" s="1"/>
      </tp>
      <tp t="b">
        <v>1</v>
        <stp/>
        <stp xml:space="preserve">
EUR8Y6MZ=R_x0008_GV1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41" s="1"/>
      </tp>
      <tp t="b">
        <v>1</v>
        <stp/>
        <stp xml:space="preserve">
EUR8Y6MZ=R_x0008_GV2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41" s="1"/>
      </tp>
      <tp>
        <v>43913</v>
        <stp/>
        <stp xml:space="preserve">
EUR8Y3MZ=R_x0008_GV1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40" s="1"/>
      </tp>
      <tp>
        <v>46930</v>
        <stp/>
        <stp xml:space="preserve">
EUR8Y3MZ=R_x0008_GV2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40" s="1"/>
      </tp>
      <tp t="b">
        <v>1</v>
        <stp/>
        <stp xml:space="preserve">
EUR8Y9MZ=R_x0008_GV2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42" s="1"/>
      </tp>
      <tp t="b">
        <v>1</v>
        <stp/>
        <stp xml:space="preserve">
EUR8Y9MZ=R_x0008_GV1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42" s="1"/>
      </tp>
      <tp>
        <v>-0.31209999999999999</v>
        <stp/>
        <stp xml:space="preserve">
EURAB6E1Y=_x0008_GEN_VAL4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I2" s="10"/>
      </tp>
      <tp>
        <v>1270</v>
        <stp/>
        <stp>_x000E_S30127000E0.ST_x000C_STRIKE PRIC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AB8" s="1"/>
      </tp>
      <tp>
        <v>43913</v>
        <stp/>
        <stp xml:space="preserve">
EUR9Y6MZ=R_x0008_GV1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45" s="1"/>
      </tp>
      <tp>
        <v>47386</v>
        <stp/>
        <stp xml:space="preserve">
EUR9Y6MZ=R_x0008_GV2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45" s="1"/>
      </tp>
      <tp t="b">
        <v>1</v>
        <stp/>
        <stp xml:space="preserve">
EUR9Y3MZ=R_x0008_GV1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44" s="1"/>
      </tp>
      <tp t="b">
        <v>1</v>
        <stp/>
        <stp xml:space="preserve">
EUR9Y3MZ=R_x0008_GV2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44" s="1"/>
      </tp>
      <tp t="b">
        <v>1</v>
        <stp/>
        <stp xml:space="preserve">
EUR9Y9MZ=R_x0008_GV2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D46" s="1"/>
      </tp>
      <tp t="b">
        <v>1</v>
        <stp/>
        <stp xml:space="preserve">
EUR9Y9MZ=R_x0008_GV1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C46" s="1"/>
      </tp>
      <tp>
        <v>-0.255</v>
        <stp/>
        <stp xml:space="preserve">
EURAB6E3Y=_x0008_GEN_VAL4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K2" s="10"/>
      </tp>
      <tp>
        <v>-0.29500000000000004</v>
        <stp/>
        <stp xml:space="preserve">
EURAB6E2Y=_x0008_GEN_VAL4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stp>
        <tr r="J2" s="10"/>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volatileDependencies" Target="volatileDependenci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19050</xdr:rowOff>
        </xdr:from>
        <xdr:to>
          <xdr:col>1</xdr:col>
          <xdr:colOff>1009650</xdr:colOff>
          <xdr:row>3</xdr:row>
          <xdr:rowOff>180975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cs typeface="Calibri"/>
                </a:rPr>
                <a:t>Make a new Snap!</a:t>
              </a:r>
            </a:p>
            <a:p>
              <a:pPr algn="ctr" rtl="0">
                <a:defRPr sz="1000"/>
              </a:pPr>
              <a:endParaRPr lang="sv-SE" sz="1100" b="0" i="0" u="none" strike="noStrike" baseline="0">
                <a:solidFill>
                  <a:srgbClr val="000000"/>
                </a:solidFill>
                <a:latin typeface="Calibri"/>
                <a:cs typeface="Calibri"/>
              </a:endParaRPr>
            </a:p>
            <a:p>
              <a:pPr algn="ctr" rtl="0">
                <a:defRPr sz="1000"/>
              </a:pPr>
              <a:r>
                <a:rPr lang="sv-SE" sz="1100" b="0" i="0" u="none" strike="noStrike" baseline="0">
                  <a:solidFill>
                    <a:srgbClr val="000000"/>
                  </a:solidFill>
                  <a:latin typeface="Calibri"/>
                  <a:cs typeface="Calibri"/>
                </a:rPr>
                <a:t> snap!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19050</xdr:colOff>
          <xdr:row>4</xdr:row>
          <xdr:rowOff>19050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cs typeface="Calibri"/>
                </a:rPr>
                <a:t>Create snapshot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xdr:row>
          <xdr:rowOff>0</xdr:rowOff>
        </xdr:from>
        <xdr:to>
          <xdr:col>2</xdr:col>
          <xdr:colOff>0</xdr:colOff>
          <xdr:row>4</xdr:row>
          <xdr:rowOff>19050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cs typeface="Calibri"/>
                </a:rPr>
                <a:t>Use realtime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9"/>
  <sheetViews>
    <sheetView tabSelected="1" workbookViewId="0">
      <selection activeCell="B8" sqref="B8"/>
    </sheetView>
  </sheetViews>
  <sheetFormatPr defaultRowHeight="15" x14ac:dyDescent="0.25"/>
  <cols>
    <col min="1" max="1" width="17.5703125" bestFit="1" customWidth="1"/>
    <col min="2" max="2" width="22.5703125" customWidth="1"/>
    <col min="4" max="4" width="10.7109375" bestFit="1" customWidth="1"/>
  </cols>
  <sheetData>
    <row r="1" spans="1:4" ht="15.75" thickBot="1" x14ac:dyDescent="0.3"/>
    <row r="2" spans="1:4" ht="15.75" thickBot="1" x14ac:dyDescent="0.3">
      <c r="A2" s="45"/>
    </row>
    <row r="3" spans="1:4" x14ac:dyDescent="0.25">
      <c r="A3" s="44"/>
      <c r="B3" t="b">
        <v>0</v>
      </c>
    </row>
    <row r="4" spans="1:4" x14ac:dyDescent="0.25">
      <c r="A4" s="46"/>
      <c r="B4" s="47"/>
    </row>
    <row r="5" spans="1:4" x14ac:dyDescent="0.25">
      <c r="A5" s="80" t="s">
        <v>585</v>
      </c>
      <c r="B5" s="81" t="s">
        <v>855</v>
      </c>
    </row>
    <row r="6" spans="1:4" ht="15.75" thickBot="1" x14ac:dyDescent="0.3">
      <c r="A6" s="48"/>
      <c r="B6" s="47"/>
    </row>
    <row r="7" spans="1:4" x14ac:dyDescent="0.25">
      <c r="A7" s="11" t="s">
        <v>173</v>
      </c>
      <c r="B7" s="49" t="s">
        <v>284</v>
      </c>
    </row>
    <row r="8" spans="1:4" x14ac:dyDescent="0.25">
      <c r="A8" s="52" t="s">
        <v>498</v>
      </c>
      <c r="B8" s="53" t="str">
        <f>VLOOKUP(B7,tables!A2:E100,3)</f>
        <v>DEU</v>
      </c>
    </row>
    <row r="9" spans="1:4" x14ac:dyDescent="0.25">
      <c r="A9" s="52" t="s">
        <v>15</v>
      </c>
      <c r="B9" s="53" t="str">
        <f>VLOOKUP(B7,tables!A2:E100,4)</f>
        <v>EUR</v>
      </c>
    </row>
    <row r="10" spans="1:4" x14ac:dyDescent="0.25">
      <c r="A10" s="52" t="s">
        <v>20</v>
      </c>
      <c r="B10" s="51">
        <f ca="1">IF(WEEKDAY(TODAY(),2)&lt;=5,TODAY(),TODAY()-(WEEKDAY(TODAY(),2)-5))</f>
        <v>43913</v>
      </c>
    </row>
    <row r="11" spans="1:4" x14ac:dyDescent="0.25">
      <c r="A11" s="52"/>
      <c r="B11" s="51"/>
    </row>
    <row r="12" spans="1:4" x14ac:dyDescent="0.25">
      <c r="A12" s="52"/>
      <c r="B12" s="101"/>
    </row>
    <row r="13" spans="1:4" x14ac:dyDescent="0.25">
      <c r="A13" s="50" t="s">
        <v>1</v>
      </c>
      <c r="B13" s="104" t="s">
        <v>706</v>
      </c>
      <c r="D13" t="s">
        <v>834</v>
      </c>
    </row>
    <row r="14" spans="1:4" x14ac:dyDescent="0.25">
      <c r="A14" s="50" t="s">
        <v>2</v>
      </c>
      <c r="B14" s="104" t="s">
        <v>772</v>
      </c>
      <c r="D14" t="s">
        <v>833</v>
      </c>
    </row>
    <row r="15" spans="1:4" x14ac:dyDescent="0.25">
      <c r="A15" s="170" t="s">
        <v>4</v>
      </c>
      <c r="B15" s="171"/>
    </row>
    <row r="16" spans="1:4" x14ac:dyDescent="0.25">
      <c r="A16" s="52" t="s">
        <v>176</v>
      </c>
      <c r="B16" s="51" t="str">
        <f>VLOOKUP(B7,tables!A2:E100,5)</f>
        <v>EUR_AB6E</v>
      </c>
    </row>
    <row r="17" spans="1:2" x14ac:dyDescent="0.25">
      <c r="A17" s="52" t="s">
        <v>27</v>
      </c>
      <c r="B17" s="104">
        <v>43398</v>
      </c>
    </row>
    <row r="18" spans="1:2" x14ac:dyDescent="0.25">
      <c r="A18" s="52" t="s">
        <v>24</v>
      </c>
      <c r="B18" s="51" t="s">
        <v>60</v>
      </c>
    </row>
    <row r="19" spans="1:2" x14ac:dyDescent="0.25">
      <c r="A19" s="52" t="s">
        <v>497</v>
      </c>
      <c r="B19" s="53">
        <v>100</v>
      </c>
    </row>
  </sheetData>
  <mergeCells count="1">
    <mergeCell ref="A15:B15"/>
  </mergeCells>
  <dataValidations count="4">
    <dataValidation type="list" allowBlank="1" showInputMessage="1" showErrorMessage="1" sqref="B18" xr:uid="{00000000-0002-0000-0000-000000000000}">
      <formula1>IRS_contract_length</formula1>
    </dataValidation>
    <dataValidation type="list" allowBlank="1" showInputMessage="1" showErrorMessage="1" sqref="B14" xr:uid="{00000000-0002-0000-0000-000001000000}">
      <formula1>bondChain</formula1>
    </dataValidation>
    <dataValidation type="list" allowBlank="1" showInputMessage="1" showErrorMessage="1" sqref="B7" xr:uid="{00000000-0002-0000-0000-000002000000}">
      <formula1>countryList</formula1>
    </dataValidation>
    <dataValidation type="list" allowBlank="1" showInputMessage="1" showErrorMessage="1" sqref="B13" xr:uid="{00000000-0002-0000-0000-000003000000}">
      <formula1>billChain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anchor moveWithCells="1" sizeWithCells="1">
                  <from>
                    <xdr:col>0</xdr:col>
                    <xdr:colOff>19050</xdr:colOff>
                    <xdr:row>2</xdr:row>
                    <xdr:rowOff>19050</xdr:rowOff>
                  </from>
                  <to>
                    <xdr:col>1</xdr:col>
                    <xdr:colOff>1009650</xdr:colOff>
                    <xdr:row>3</xdr:row>
                    <xdr:rowOff>180975</xdr:rowOff>
                  </to>
                </anchor>
              </controlPr>
            </control>
          </mc:Choice>
        </mc:AlternateContent>
        <mc:AlternateContent xmlns:mc="http://schemas.openxmlformats.org/markup-compatibility/2006">
          <mc:Choice Requires="x14">
            <control shapeId="2053" r:id="rId5" name="Button 5">
              <controlPr defaultSize="0" print="0" autoFill="0" autoPict="0" macro="[0]!createSnapshot">
                <anchor moveWithCells="1" sizeWithCells="1">
                  <from>
                    <xdr:col>0</xdr:col>
                    <xdr:colOff>0</xdr:colOff>
                    <xdr:row>2</xdr:row>
                    <xdr:rowOff>0</xdr:rowOff>
                  </from>
                  <to>
                    <xdr:col>1</xdr:col>
                    <xdr:colOff>19050</xdr:colOff>
                    <xdr:row>4</xdr:row>
                    <xdr:rowOff>19050</xdr:rowOff>
                  </to>
                </anchor>
              </controlPr>
            </control>
          </mc:Choice>
        </mc:AlternateContent>
        <mc:AlternateContent xmlns:mc="http://schemas.openxmlformats.org/markup-compatibility/2006">
          <mc:Choice Requires="x14">
            <control shapeId="2054" r:id="rId6" name="Button 6">
              <controlPr defaultSize="0" print="0" autoFill="0" autoPict="0" macro="[0]!useRealTime">
                <anchor moveWithCells="1" sizeWithCells="1">
                  <from>
                    <xdr:col>1</xdr:col>
                    <xdr:colOff>9525</xdr:colOff>
                    <xdr:row>2</xdr:row>
                    <xdr:rowOff>0</xdr:rowOff>
                  </from>
                  <to>
                    <xdr:col>2</xdr:col>
                    <xdr:colOff>0</xdr:colOff>
                    <xdr:row>4</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E407"/>
  <sheetViews>
    <sheetView topLeftCell="E1" zoomScale="70" zoomScaleNormal="70" workbookViewId="0">
      <selection activeCell="L8" sqref="L8"/>
    </sheetView>
  </sheetViews>
  <sheetFormatPr defaultRowHeight="15" x14ac:dyDescent="0.25"/>
  <cols>
    <col min="1" max="1" width="16.7109375" bestFit="1" customWidth="1"/>
    <col min="2" max="2" width="15" bestFit="1" customWidth="1"/>
    <col min="3" max="3" width="40.28515625" bestFit="1" customWidth="1"/>
    <col min="4" max="4" width="12.85546875" bestFit="1" customWidth="1"/>
    <col min="5" max="5" width="12.85546875" style="84" customWidth="1"/>
    <col min="6" max="6" width="40.28515625" bestFit="1" customWidth="1"/>
    <col min="7" max="7" width="3.140625" style="5" customWidth="1"/>
    <col min="8" max="8" width="14" bestFit="1" customWidth="1"/>
    <col min="9" max="9" width="12.85546875" bestFit="1" customWidth="1"/>
    <col min="10" max="10" width="3.140625" style="5" customWidth="1"/>
    <col min="11" max="11" width="31" bestFit="1" customWidth="1"/>
    <col min="12" max="12" width="19" customWidth="1"/>
    <col min="13" max="13" width="3.140625" style="5" customWidth="1"/>
    <col min="14" max="14" width="20.28515625" customWidth="1"/>
    <col min="15" max="15" width="24" customWidth="1"/>
    <col min="16" max="16" width="16.42578125" style="61" customWidth="1"/>
    <col min="17" max="17" width="3.140625" style="5" customWidth="1"/>
    <col min="18" max="18" width="23.140625" bestFit="1" customWidth="1"/>
    <col min="19" max="19" width="21.7109375" bestFit="1" customWidth="1"/>
    <col min="20" max="20" width="3.140625" style="5" customWidth="1"/>
    <col min="21" max="21" width="50.5703125" bestFit="1" customWidth="1"/>
    <col min="22" max="22" width="33.7109375" customWidth="1"/>
    <col min="23" max="23" width="3.140625" style="5" customWidth="1"/>
    <col min="24" max="24" width="20.5703125" bestFit="1" customWidth="1"/>
    <col min="25" max="25" width="15.7109375" customWidth="1"/>
    <col min="26" max="26" width="3.140625" style="5" customWidth="1"/>
    <col min="27" max="27" width="23.140625" bestFit="1" customWidth="1"/>
    <col min="28" max="28" width="22.140625" bestFit="1" customWidth="1"/>
    <col min="29" max="29" width="3.140625" style="5" customWidth="1"/>
  </cols>
  <sheetData>
    <row r="1" spans="1:31" s="3" customFormat="1" x14ac:dyDescent="0.25">
      <c r="A1" s="172" t="s">
        <v>0</v>
      </c>
      <c r="B1" s="172"/>
      <c r="C1" s="172"/>
      <c r="D1" s="172"/>
      <c r="E1" s="172"/>
      <c r="F1" s="172"/>
      <c r="G1" s="172"/>
      <c r="H1" s="172"/>
      <c r="I1" s="172"/>
      <c r="J1" s="2"/>
      <c r="K1" s="172" t="s">
        <v>1</v>
      </c>
      <c r="L1" s="172"/>
      <c r="M1" s="2"/>
      <c r="N1" s="172" t="s">
        <v>2</v>
      </c>
      <c r="O1" s="172"/>
      <c r="P1" s="1"/>
      <c r="Q1" s="2"/>
      <c r="R1" s="172" t="s">
        <v>3</v>
      </c>
      <c r="S1" s="172"/>
      <c r="T1" s="2"/>
      <c r="U1" s="172" t="s">
        <v>4</v>
      </c>
      <c r="V1" s="172"/>
      <c r="W1" s="2"/>
      <c r="X1" s="172" t="s">
        <v>5</v>
      </c>
      <c r="Y1" s="172"/>
      <c r="Z1" s="2"/>
      <c r="AA1" s="172" t="s">
        <v>6</v>
      </c>
      <c r="AB1" s="172"/>
      <c r="AC1" s="2"/>
    </row>
    <row r="2" spans="1:31" x14ac:dyDescent="0.25">
      <c r="A2" t="s">
        <v>7</v>
      </c>
      <c r="B2" t="s">
        <v>8</v>
      </c>
      <c r="C2" s="4" t="s">
        <v>9</v>
      </c>
      <c r="D2" s="4" t="s">
        <v>10</v>
      </c>
      <c r="E2" s="4" t="s">
        <v>597</v>
      </c>
      <c r="F2" t="s">
        <v>11</v>
      </c>
      <c r="H2" s="6"/>
      <c r="K2" t="s">
        <v>7</v>
      </c>
      <c r="L2" s="4" t="str">
        <f>main!B13</f>
        <v>DE110466=</v>
      </c>
      <c r="N2" t="s">
        <v>7</v>
      </c>
      <c r="O2" s="4" t="str">
        <f>main!B14</f>
        <v>DE114168=</v>
      </c>
      <c r="P2" s="4"/>
      <c r="X2" t="s">
        <v>12</v>
      </c>
      <c r="Y2" t="s">
        <v>13</v>
      </c>
      <c r="AA2" t="s">
        <v>12</v>
      </c>
      <c r="AB2" t="str">
        <f>AA19</f>
        <v>.OMXS30</v>
      </c>
    </row>
    <row r="3" spans="1:31" x14ac:dyDescent="0.25">
      <c r="A3" t="str">
        <f>main!$B$9&amp; "ONZ=R"</f>
        <v>EURONZ=R</v>
      </c>
      <c r="B3" t="s">
        <v>14</v>
      </c>
      <c r="C3" s="4" t="str">
        <f>_xll.RtGet("IDN",A3,"GV1 DATE")</f>
        <v>Retrieving...</v>
      </c>
      <c r="D3" s="4" t="str">
        <f>_xll.RtGet("IDN",A3,"GV2 DATE")</f>
        <v>Retrieving...</v>
      </c>
      <c r="E3" s="4">
        <f t="shared" ref="E3:E66" si="0">IF(ISNUMBER(D4),D4,E4)</f>
        <v>43915</v>
      </c>
      <c r="F3" t="str">
        <f>_xll.RtGet("IDN",A3,"SECOND ACTIVY 1")</f>
        <v>Retrieving...</v>
      </c>
      <c r="K3" t="s">
        <v>15</v>
      </c>
      <c r="L3" t="str">
        <f>_xll.RtGet("IDN",L2,"CURRENCY")</f>
        <v>#N/A The record could not be found</v>
      </c>
      <c r="N3" t="s">
        <v>15</v>
      </c>
      <c r="O3" t="str">
        <f>_xll.RtGet("IDN",O2,"CURRENCY")</f>
        <v>#N/A The record could not be found</v>
      </c>
      <c r="R3" s="7" t="s">
        <v>15</v>
      </c>
      <c r="S3" t="str">
        <f>main!$B$9</f>
        <v>EUR</v>
      </c>
      <c r="U3" s="7" t="s">
        <v>15</v>
      </c>
      <c r="V3" t="str">
        <f>main!$B$9</f>
        <v>EUR</v>
      </c>
      <c r="X3" t="s">
        <v>16</v>
      </c>
      <c r="Y3">
        <f>_xll.RtGet("IDN",Y2,"LAST")</f>
        <v>1292.2740000000001</v>
      </c>
      <c r="AA3" t="s">
        <v>16</v>
      </c>
      <c r="AB3">
        <f>_xll.RtGet("IDN",AB2,"LAST")</f>
        <v>1292.2740000000001</v>
      </c>
    </row>
    <row r="4" spans="1:31" x14ac:dyDescent="0.25">
      <c r="A4" t="str">
        <f>main!$B$9 &amp; "TNZ=R"</f>
        <v>EURTNZ=R</v>
      </c>
      <c r="B4" t="s">
        <v>17</v>
      </c>
      <c r="C4" s="4">
        <f>_xll.RtGet("IDN",A4,"GV1 DATE")</f>
        <v>43913</v>
      </c>
      <c r="D4" s="4">
        <f>_xll.RtGet("IDN",A4,"GV2 DATE")</f>
        <v>43915</v>
      </c>
      <c r="E4" s="4">
        <f t="shared" si="0"/>
        <v>43948</v>
      </c>
      <c r="F4">
        <f>_xll.RtGet("IDN",A4,"SECOND ACTIVY 1")</f>
        <v>1.000026251</v>
      </c>
      <c r="R4" s="7" t="s">
        <v>18</v>
      </c>
      <c r="S4">
        <f>_xll.AdStyleAttribute("CUR",S3,"YB")</f>
        <v>360</v>
      </c>
      <c r="U4" s="8" t="s">
        <v>20</v>
      </c>
      <c r="V4" s="4">
        <f>main!B17</f>
        <v>43398</v>
      </c>
      <c r="X4" t="s">
        <v>7</v>
      </c>
      <c r="Y4" t="str">
        <f>X20</f>
        <v>OMXS30K0</v>
      </c>
      <c r="AA4" t="s">
        <v>7</v>
      </c>
      <c r="AB4" t="str">
        <f>AA42</f>
        <v>S30127000E0.ST</v>
      </c>
    </row>
    <row r="5" spans="1:31" x14ac:dyDescent="0.25">
      <c r="A5" t="str">
        <f>main!$B$9 &amp; B5 &amp; "Z=R"</f>
        <v>EUR1WZ=R</v>
      </c>
      <c r="B5" t="s">
        <v>19</v>
      </c>
      <c r="C5" s="4" t="str">
        <f>_xll.RtGet("IDN",A5,"GV1 DATE")</f>
        <v>Retrieving...</v>
      </c>
      <c r="D5" s="4" t="str">
        <f>_xll.RtGet("IDN",A5,"GV2 DATE")</f>
        <v>Retrieving...</v>
      </c>
      <c r="E5" s="4">
        <f t="shared" si="0"/>
        <v>43948</v>
      </c>
      <c r="F5" t="str">
        <f>_xll.RtGet("IDN",A5,"SECOND ACTIVY 1")</f>
        <v>Retrieving...</v>
      </c>
      <c r="K5" s="4" t="s">
        <v>20</v>
      </c>
      <c r="L5" s="4">
        <f ca="1">main!$B$10</f>
        <v>43913</v>
      </c>
      <c r="N5" s="4" t="s">
        <v>20</v>
      </c>
      <c r="O5" s="4">
        <f ca="1">main!$B$10</f>
        <v>43913</v>
      </c>
      <c r="P5" s="4"/>
      <c r="R5" s="8" t="s">
        <v>21</v>
      </c>
      <c r="S5" s="4">
        <f ca="1">main!$B$10</f>
        <v>43913</v>
      </c>
      <c r="U5" s="8" t="s">
        <v>23</v>
      </c>
      <c r="V5" s="4">
        <f>_xll.FxCalcPeriod(V4,V3,"SN","Ret:1 FROM:MMTrade")</f>
        <v>43402</v>
      </c>
      <c r="X5" t="s">
        <v>20</v>
      </c>
      <c r="Y5" s="4">
        <f ca="1">main!$B$10</f>
        <v>43913</v>
      </c>
      <c r="AA5" t="s">
        <v>20</v>
      </c>
      <c r="AB5" s="4">
        <f ca="1">main!$B$10</f>
        <v>43913</v>
      </c>
    </row>
    <row r="6" spans="1:31" x14ac:dyDescent="0.25">
      <c r="A6" t="str">
        <f>main!$B$9 &amp; B6 &amp; "Z=R"</f>
        <v>EUR1MZ=R</v>
      </c>
      <c r="B6" t="s">
        <v>22</v>
      </c>
      <c r="C6" s="4">
        <f>_xll.RtGet("IDN",A6,"GV1 DATE")</f>
        <v>43913</v>
      </c>
      <c r="D6" s="4">
        <f>_xll.RtGet("IDN",A6,"GV2 DATE")</f>
        <v>43948</v>
      </c>
      <c r="E6" s="4">
        <f t="shared" si="0"/>
        <v>44280</v>
      </c>
      <c r="F6">
        <f>_xll.RtGet("IDN",A6,"SECOND ACTIVY 1")</f>
        <v>1.0004343440000001</v>
      </c>
      <c r="H6" s="9"/>
      <c r="I6" s="4"/>
      <c r="K6" s="4" t="s">
        <v>23</v>
      </c>
      <c r="L6" s="4">
        <f ca="1">_xll.BdSettle(L5,L15)</f>
        <v>43915</v>
      </c>
      <c r="N6" s="4" t="s">
        <v>23</v>
      </c>
      <c r="O6" s="4">
        <f ca="1">_xll.BdSettle(O5,O15)</f>
        <v>43915</v>
      </c>
      <c r="P6" s="4"/>
      <c r="R6" s="8" t="s">
        <v>23</v>
      </c>
      <c r="S6" s="4">
        <f ca="1">_xll.FxCalcPeriod(S5,S3,"SN","Ret:1 FROM:MMTrade")</f>
        <v>43915</v>
      </c>
      <c r="X6" t="s">
        <v>24</v>
      </c>
      <c r="Y6" s="4">
        <f>_xll.RtGet("IDN",Y4,"EXPIRE DATE")</f>
        <v>43966</v>
      </c>
      <c r="AA6" t="s">
        <v>24</v>
      </c>
      <c r="AB6" s="4">
        <f>_xll.RtGet("IDN",AB4,"EXPIRE DATE")</f>
        <v>43966</v>
      </c>
    </row>
    <row r="7" spans="1:31" ht="15.75" thickBot="1" x14ac:dyDescent="0.3">
      <c r="A7" t="str">
        <f>main!$B$9 &amp; B7 &amp; "Z=R"</f>
        <v>EUR2MZ=R</v>
      </c>
      <c r="B7" t="s">
        <v>25</v>
      </c>
      <c r="C7" s="4" t="str">
        <f>_xll.RtGet("IDN",A7,"GV1 DATE")</f>
        <v>Retrieving...</v>
      </c>
      <c r="D7" s="4" t="str">
        <f>_xll.RtGet("IDN",A7,"GV2 DATE")</f>
        <v>Retrieving...</v>
      </c>
      <c r="E7" s="4">
        <f t="shared" si="0"/>
        <v>44280</v>
      </c>
      <c r="F7" t="str">
        <f>_xll.RtGet("IDN",A7,"SECOND ACTIVY 1")</f>
        <v>Retrieving...</v>
      </c>
      <c r="H7" s="4"/>
      <c r="I7" s="4"/>
      <c r="K7" s="4" t="s">
        <v>501</v>
      </c>
      <c r="L7" s="4" t="str">
        <f>_xll.RtGet("IDN",L2,"MATURITY DATE")</f>
        <v>#N/A The record could not be found</v>
      </c>
      <c r="N7" s="4" t="s">
        <v>26</v>
      </c>
      <c r="O7" s="4" t="str">
        <f>_xll.RtGet("IDN",O2,"MATURITY DATE")</f>
        <v>#N/A The record could not be found</v>
      </c>
      <c r="P7" s="4"/>
      <c r="R7" s="4"/>
      <c r="S7" s="4"/>
      <c r="U7" s="8"/>
      <c r="V7" s="4"/>
      <c r="X7" t="s">
        <v>28</v>
      </c>
      <c r="Y7">
        <f ca="1">Y6-Y5</f>
        <v>53</v>
      </c>
      <c r="AA7" t="s">
        <v>29</v>
      </c>
      <c r="AB7">
        <f ca="1">_xll.DfCountWD("SWE",AB5,AB6)+1</f>
        <v>37</v>
      </c>
    </row>
    <row r="8" spans="1:31" ht="15.75" thickBot="1" x14ac:dyDescent="0.3">
      <c r="A8" t="str">
        <f>main!$B$9 &amp; B8 &amp; "Z=R"</f>
        <v>EUR3MZ=R</v>
      </c>
      <c r="B8" t="s">
        <v>30</v>
      </c>
      <c r="C8" s="4" t="str">
        <f>_xll.RtGet("IDN",A8,"GV1 DATE")</f>
        <v>Retrieving...</v>
      </c>
      <c r="D8" s="4" t="str">
        <f>_xll.RtGet("IDN",A8,"GV2 DATE")</f>
        <v>Retrieving...</v>
      </c>
      <c r="E8" s="4">
        <f t="shared" si="0"/>
        <v>44280</v>
      </c>
      <c r="F8" t="str">
        <f>_xll.RtGet("IDN",A8,"SECOND ACTIVY 1")</f>
        <v>Retrieving...</v>
      </c>
      <c r="K8" t="s">
        <v>31</v>
      </c>
      <c r="L8" t="e">
        <f>_xll.RtGet("IDN",L2,"RT YIELD 1")/100</f>
        <v>#VALUE!</v>
      </c>
      <c r="N8" t="s">
        <v>38</v>
      </c>
      <c r="O8" t="e">
        <f>_xll.RtGet("IDN",O2,"COUPON RATE")/100</f>
        <v>#VALUE!</v>
      </c>
      <c r="R8" s="10" t="s">
        <v>32</v>
      </c>
      <c r="U8" s="8" t="s">
        <v>26</v>
      </c>
      <c r="V8" s="4">
        <f>_xll.FxCalcPeriod(V4,V3,V12,"Ret:2 FROM:MMTrade")</f>
        <v>44498</v>
      </c>
      <c r="X8" t="s">
        <v>31</v>
      </c>
      <c r="Y8">
        <f>_xll.RtGet("IDN",Y4,"BID")</f>
        <v>1286.25</v>
      </c>
      <c r="AA8" t="s">
        <v>33</v>
      </c>
      <c r="AB8">
        <f>_xll.RtGet("IDN",AB4,"STRIKE PRICE")</f>
        <v>1270</v>
      </c>
      <c r="AE8">
        <f>WEEKDAY(V8,2)</f>
        <v>5</v>
      </c>
    </row>
    <row r="9" spans="1:31" x14ac:dyDescent="0.25">
      <c r="A9" t="str">
        <f>main!$B$9 &amp; B9 &amp; "Z=R"</f>
        <v>EUR6MZ=R</v>
      </c>
      <c r="B9" t="s">
        <v>34</v>
      </c>
      <c r="C9" s="4" t="str">
        <f>_xll.RtGet("IDN",A9,"GV1 DATE")</f>
        <v>Retrieving...</v>
      </c>
      <c r="D9" s="4" t="str">
        <f>_xll.RtGet("IDN",A9,"GV2 DATE")</f>
        <v>Retrieving...</v>
      </c>
      <c r="E9" s="4">
        <f t="shared" si="0"/>
        <v>44280</v>
      </c>
      <c r="F9" t="str">
        <f>_xll.RtGet("IDN",A9,"SECOND ACTIVY 1")</f>
        <v>Retrieving...</v>
      </c>
      <c r="K9" t="s">
        <v>35</v>
      </c>
      <c r="L9" t="e">
        <f>_xll.RtGet("IDN",L2,"SEC YLD 1")/100</f>
        <v>#VALUE!</v>
      </c>
      <c r="N9" t="s">
        <v>506</v>
      </c>
      <c r="O9" t="e">
        <f>_xll.RtGet("IDN",O2,"RT YIELD 1")/100</f>
        <v>#VALUE!</v>
      </c>
      <c r="R9" s="7" t="s">
        <v>27</v>
      </c>
      <c r="S9" s="4">
        <v>42172</v>
      </c>
      <c r="U9" s="11"/>
      <c r="V9" s="12"/>
      <c r="X9" t="s">
        <v>35</v>
      </c>
      <c r="Y9">
        <f>_xll.RtGet("IDN",Y4,"ASK")</f>
        <v>0</v>
      </c>
      <c r="AA9" t="s">
        <v>36</v>
      </c>
      <c r="AB9" t="str">
        <f>_xll.RtGet("IDN",AB4,"PUT/CALL FLAG")</f>
        <v>C-EU</v>
      </c>
    </row>
    <row r="10" spans="1:31" x14ac:dyDescent="0.25">
      <c r="A10" t="str">
        <f>main!$B$9 &amp; B10 &amp; "Z=R"</f>
        <v>EUR9MZ=R</v>
      </c>
      <c r="B10" t="s">
        <v>37</v>
      </c>
      <c r="C10" s="4" t="str">
        <f>_xll.RtGet("IDN",A10,"GV1 DATE")</f>
        <v>Retrieving...</v>
      </c>
      <c r="D10" s="4" t="str">
        <f>_xll.RtGet("IDN",A10,"GV2 DATE")</f>
        <v>Retrieving...</v>
      </c>
      <c r="E10" s="4">
        <f t="shared" si="0"/>
        <v>44280</v>
      </c>
      <c r="F10" t="str">
        <f>_xll.RtGet("IDN",A10,"SECOND ACTIVY 1")</f>
        <v>Retrieving...</v>
      </c>
      <c r="K10" s="16" t="s">
        <v>40</v>
      </c>
      <c r="L10" s="14" t="str">
        <f>_xll.RtGet("IDN",L2,"PRIMACT_1")</f>
        <v>#N/A The record could not be found</v>
      </c>
      <c r="N10" t="s">
        <v>507</v>
      </c>
      <c r="O10" t="e">
        <f>_xll.RtGet("IDN",O2,"SEC YLD 1")/100</f>
        <v>#VALUE!</v>
      </c>
      <c r="R10" s="7" t="s">
        <v>26</v>
      </c>
      <c r="S10" s="4">
        <f ca="1">_xll.FxCalcPeriod($S$5,$S$3,LEFT(S11,LEN(S11)-1)+LEFT(S12,LEN(S12)-1)&amp;"M","RET:2")</f>
        <v>44221</v>
      </c>
      <c r="U10" s="7" t="s">
        <v>598</v>
      </c>
      <c r="V10" s="13" t="str">
        <f>VLOOKUP(main!B7,tables!A2:O98,9,)</f>
        <v>EURIRS</v>
      </c>
      <c r="AA10" t="s">
        <v>31</v>
      </c>
      <c r="AB10">
        <f>_xll.RtGet("IDN",AB4,"BID")</f>
        <v>0</v>
      </c>
    </row>
    <row r="11" spans="1:31" x14ac:dyDescent="0.25">
      <c r="A11" t="str">
        <f>main!$B$9 &amp; B11 &amp; "Z=R"</f>
        <v>EUR1YZ=R</v>
      </c>
      <c r="B11" t="s">
        <v>39</v>
      </c>
      <c r="C11" s="4">
        <f>_xll.RtGet("IDN",A11,"GV1 DATE")</f>
        <v>43913</v>
      </c>
      <c r="D11" s="4">
        <f>_xll.RtGet("IDN",A11,"GV2 DATE")</f>
        <v>44280</v>
      </c>
      <c r="E11" s="4">
        <f t="shared" si="0"/>
        <v>44557</v>
      </c>
      <c r="F11">
        <f>_xll.RtGet("IDN",A11,"SECOND ACTIVY 1")</f>
        <v>1.002945561</v>
      </c>
      <c r="H11" s="4"/>
      <c r="I11" s="14"/>
      <c r="J11" s="15"/>
      <c r="K11" s="16" t="s">
        <v>44</v>
      </c>
      <c r="L11" s="14" t="str">
        <f>_xll.RtGet("IDN",L2,"SEC_ACT_1")</f>
        <v>#N/A The record could not be found</v>
      </c>
      <c r="N11" t="s">
        <v>504</v>
      </c>
      <c r="O11" t="str">
        <f>_xll.RtGet("IDN",O2,"PRIMACT_1")</f>
        <v>#N/A The record could not be found</v>
      </c>
      <c r="R11" s="7" t="s">
        <v>41</v>
      </c>
      <c r="S11" t="s">
        <v>221</v>
      </c>
      <c r="U11" s="7" t="s">
        <v>42</v>
      </c>
      <c r="V11" s="4" t="str">
        <f>main!$B$16</f>
        <v>EUR_AB6E</v>
      </c>
      <c r="AA11" t="s">
        <v>35</v>
      </c>
      <c r="AB11">
        <f>_xll.RtGet("IDN",AB4,"ASK")</f>
        <v>0</v>
      </c>
    </row>
    <row r="12" spans="1:31" x14ac:dyDescent="0.25">
      <c r="A12" t="str">
        <f>main!$B$9 &amp; B12 &amp; "Z=R"</f>
        <v>EUR1Y3MZ=R</v>
      </c>
      <c r="B12" t="s">
        <v>43</v>
      </c>
      <c r="C12" s="4" t="str">
        <f>_xll.RtGet("IDN",A12,"GV1 DATE")</f>
        <v>Retrieving...</v>
      </c>
      <c r="D12" s="4" t="str">
        <f>_xll.RtGet("IDN",A12,"GV2 DATE")</f>
        <v>Retrieving...</v>
      </c>
      <c r="E12" s="4">
        <f t="shared" si="0"/>
        <v>44557</v>
      </c>
      <c r="F12" t="str">
        <f>_xll.RtGet("IDN",A12,"SECOND ACTIVY 1")</f>
        <v>Retrieving...</v>
      </c>
      <c r="H12" s="4"/>
      <c r="I12" s="14"/>
      <c r="J12" s="15"/>
      <c r="K12" s="16" t="s">
        <v>47</v>
      </c>
      <c r="L12" s="14" t="str">
        <f>_xll.RtGet("IDN",L2,"PRC_QL3")</f>
        <v>#N/A The record could not be found</v>
      </c>
      <c r="N12" t="s">
        <v>505</v>
      </c>
      <c r="O12" t="str">
        <f>_xll.RtGet("IDN",O2,"SEC_ACT_1")</f>
        <v>#N/A The record could not be found</v>
      </c>
      <c r="R12" s="17" t="s">
        <v>45</v>
      </c>
      <c r="S12" t="s">
        <v>30</v>
      </c>
      <c r="U12" s="7" t="s">
        <v>24</v>
      </c>
      <c r="V12" s="4" t="str">
        <f>main!B18</f>
        <v>3Y</v>
      </c>
    </row>
    <row r="13" spans="1:31" x14ac:dyDescent="0.25">
      <c r="A13" t="str">
        <f>main!$B$9 &amp; B13 &amp; "Z=R"</f>
        <v>EUR1Y6MZ=R</v>
      </c>
      <c r="B13" t="s">
        <v>46</v>
      </c>
      <c r="C13" s="4" t="str">
        <f>_xll.RtGet("IDN",A13,"GV1 DATE")</f>
        <v>Retrieving...</v>
      </c>
      <c r="D13" s="4" t="str">
        <f>_xll.RtGet("IDN",A13,"GV2 DATE")</f>
        <v>Retrieving...</v>
      </c>
      <c r="E13" s="4">
        <f t="shared" si="0"/>
        <v>44557</v>
      </c>
      <c r="F13" t="str">
        <f>_xll.RtGet("IDN",A13,"SECOND ACTIVY 1")</f>
        <v>Retrieving...</v>
      </c>
      <c r="P13" s="18"/>
      <c r="U13" s="7" t="s">
        <v>42</v>
      </c>
      <c r="V13" t="str">
        <f>_xll.AdStyleStructure("IRS",V11)</f>
        <v>PAID:FIXED LBOTH SETTLE:2WD DMC:M EMC:S CFADJ:YES REFDATE:MATURITY CLDR:EMU PDELAY:0 LFIXED FRQ:1 CCM:BB00 LFLOAT FRQ:2 CCM:MMA0</v>
      </c>
      <c r="W13" s="19" t="s">
        <v>48</v>
      </c>
    </row>
    <row r="14" spans="1:31" ht="15.75" thickBot="1" x14ac:dyDescent="0.3">
      <c r="A14" t="str">
        <f>main!$B$9 &amp; B14 &amp; "Z=R"</f>
        <v>EUR1Y9MZ=R</v>
      </c>
      <c r="B14" t="s">
        <v>49</v>
      </c>
      <c r="C14" s="4">
        <f>_xll.RtGet("IDN",A14,"GV1 DATE")</f>
        <v>43913</v>
      </c>
      <c r="D14" s="4">
        <f>_xll.RtGet("IDN",A14,"GV2 DATE")</f>
        <v>44557</v>
      </c>
      <c r="E14" s="4">
        <f t="shared" si="0"/>
        <v>44645</v>
      </c>
      <c r="F14">
        <f>_xll.RtGet("IDN",A14,"SECOND ACTIVY 1")</f>
        <v>1.0057744850000001</v>
      </c>
      <c r="H14" s="20"/>
      <c r="I14" s="20"/>
      <c r="K14" s="14" t="str">
        <f>_xll.RData($L$2,"EJV.X.ADF_BONDSTRUCTURE",,,"TRANSPOSE:YES",L15)</f>
        <v>Updated at 18:29:33</v>
      </c>
      <c r="M14" s="19" t="s">
        <v>48</v>
      </c>
      <c r="N14" t="str">
        <f>_xll.RData($O$2,"EJV.X.ADF_BONDSTRUCTURE",,,"TRANSPOSE:YES",O15)</f>
        <v>Updated at 18:29:33</v>
      </c>
      <c r="Q14" s="19" t="s">
        <v>48</v>
      </c>
      <c r="U14" s="74" t="s">
        <v>586</v>
      </c>
      <c r="V14" s="82" t="str">
        <f>"DCB:"&amp;SUBSTITUTE(SUBSTITUTE(parseStructureIRS(V13,"CCM:","LFIXED"),"MM",""),"BB","")</f>
        <v>DCB:00</v>
      </c>
    </row>
    <row r="15" spans="1:31" ht="15.75" thickBot="1" x14ac:dyDescent="0.3">
      <c r="A15" t="str">
        <f>main!$B$9 &amp; B15 &amp; "Z=R"</f>
        <v>EUR2YZ=R</v>
      </c>
      <c r="B15" t="s">
        <v>50</v>
      </c>
      <c r="C15" s="4">
        <f>_xll.RtGet("IDN",A15,"GV1 DATE")</f>
        <v>43913</v>
      </c>
      <c r="D15" s="4">
        <f>_xll.RtGet("IDN",A15,"GV2 DATE")</f>
        <v>44645</v>
      </c>
      <c r="E15" s="4">
        <f t="shared" si="0"/>
        <v>44830</v>
      </c>
      <c r="F15">
        <f>_xll.RtGet("IDN",A15,"SECOND ACTIVY 1")</f>
        <v>1.006108953</v>
      </c>
      <c r="H15" s="20"/>
      <c r="I15" s="20"/>
      <c r="K15" s="16" t="s">
        <v>503</v>
      </c>
      <c r="L15" s="14" t="s">
        <v>821</v>
      </c>
      <c r="N15" s="16" t="s">
        <v>503</v>
      </c>
      <c r="O15" t="s">
        <v>825</v>
      </c>
      <c r="R15" s="21" t="s">
        <v>51</v>
      </c>
      <c r="U15" s="74" t="s">
        <v>587</v>
      </c>
      <c r="V15" s="82" t="str">
        <f>"DCB:"&amp;SUBSTITUTE(SUBSTITUTE(parseStructureIRS(V13,"CCM:","LFLOAT"),"MM",""),"BB","")</f>
        <v>DCB:A0</v>
      </c>
    </row>
    <row r="16" spans="1:31" x14ac:dyDescent="0.25">
      <c r="A16" t="str">
        <f>main!$B$9 &amp; B16 &amp; "Z=R"</f>
        <v>EUR2Y3MZ=R</v>
      </c>
      <c r="B16" t="s">
        <v>52</v>
      </c>
      <c r="C16" s="4" t="str">
        <f>_xll.RtGet("IDN",A16,"GV1 DATE")</f>
        <v>Retrieving...</v>
      </c>
      <c r="D16" s="4" t="str">
        <f>_xll.RtGet("IDN",A16,"GV2 DATE")</f>
        <v>Retrieving...</v>
      </c>
      <c r="E16" s="4">
        <f t="shared" si="0"/>
        <v>44830</v>
      </c>
      <c r="F16" t="str">
        <f>_xll.RtGet("IDN",A16,"SECOND ACTIVY 1")</f>
        <v>Retrieving...</v>
      </c>
      <c r="K16" s="16" t="s">
        <v>502</v>
      </c>
      <c r="L16" s="14" t="str">
        <f>parseStructure(L15,"ACC:")</f>
        <v>AA</v>
      </c>
      <c r="N16" t="s">
        <v>521</v>
      </c>
      <c r="O16" s="61" t="str">
        <f>REPLACE(O15,FIND("DMC:",O15)+LEN("DMC:"),FIND(" ",O15,FIND("DMC:",O15)+LEN("DMC:"))-(FIND("DMC:",O15)+LEN("DMC:")),"NONE")</f>
        <v xml:space="preserve">ACC:AA CCM:BBAA CFADJ:NO CLDR:EMU_FI DATED:17JAN2014 DMC:NONE EMC:S FRCD:22FEB2015 FRQ:1 ISSUE:17JAN2014 NOTIONAL:1 PX:C PXRND:1E-5:NEAR REFDATE:MATURITY RP:1 SETTLE:2WD XD:NO </v>
      </c>
      <c r="R16" s="7" t="s">
        <v>27</v>
      </c>
      <c r="S16" s="4">
        <v>41890</v>
      </c>
    </row>
    <row r="17" spans="1:27" x14ac:dyDescent="0.25">
      <c r="A17" t="str">
        <f>main!$B$9 &amp; B17 &amp; "Z=R"</f>
        <v>EUR2Y6MZ=R</v>
      </c>
      <c r="B17" t="s">
        <v>53</v>
      </c>
      <c r="C17" s="4">
        <f>_xll.RtGet("IDN",A17,"GV1 DATE")</f>
        <v>43913</v>
      </c>
      <c r="D17" s="4">
        <f>_xll.RtGet("IDN",A17,"GV2 DATE")</f>
        <v>44830</v>
      </c>
      <c r="E17" s="4">
        <f t="shared" si="0"/>
        <v>45194</v>
      </c>
      <c r="F17">
        <f>_xll.RtGet("IDN",A17,"SECOND ACTIVY 1")</f>
        <v>1.007041995</v>
      </c>
      <c r="K17" t="s">
        <v>18</v>
      </c>
      <c r="L17" t="str">
        <f>VLOOKUP(L16,tables!Q2:R98,2,FALSE)</f>
        <v>Act/Act</v>
      </c>
      <c r="N17" t="s">
        <v>527</v>
      </c>
      <c r="O17" s="4" t="e">
        <f ca="1">_xll.BdCalcCpn(O6,O7,,O16,"Ret:1")</f>
        <v>#VALUE!</v>
      </c>
      <c r="P17" s="4"/>
      <c r="R17" s="7" t="s">
        <v>45</v>
      </c>
      <c r="S17" s="8" t="s">
        <v>34</v>
      </c>
      <c r="U17" s="7" t="s">
        <v>55</v>
      </c>
      <c r="V17" s="82"/>
      <c r="X17" s="6" t="s">
        <v>56</v>
      </c>
      <c r="AA17" s="6" t="s">
        <v>57</v>
      </c>
    </row>
    <row r="18" spans="1:27" x14ac:dyDescent="0.25">
      <c r="A18" t="str">
        <f>main!$B$9 &amp; B18 &amp; "Z=R"</f>
        <v>EUR2Y9MZ=R</v>
      </c>
      <c r="B18" t="s">
        <v>58</v>
      </c>
      <c r="C18" s="4" t="str">
        <f>_xll.RtGet("IDN",A18,"GV1 DATE")</f>
        <v>Retrieving...</v>
      </c>
      <c r="D18" s="4" t="str">
        <f>_xll.RtGet("IDN",A18,"GV2 DATE")</f>
        <v>Retrieving...</v>
      </c>
      <c r="E18" s="4">
        <f t="shared" si="0"/>
        <v>45194</v>
      </c>
      <c r="F18" t="str">
        <f>_xll.RtGet("IDN",A18,"SECOND ACTIVY 1")</f>
        <v>Retrieving...</v>
      </c>
      <c r="N18" t="s">
        <v>54</v>
      </c>
      <c r="O18" s="4" t="e">
        <f ca="1">_xll.BdCalcCpn(O6,O7,,O16,"Ret:2")</f>
        <v>#VALUE!</v>
      </c>
      <c r="P18" s="4"/>
      <c r="R18" s="7" t="s">
        <v>26</v>
      </c>
      <c r="S18" s="4">
        <f>_xll.FxCalcPeriod(S16,$S$3,S17,"RET:2")</f>
        <v>42073</v>
      </c>
      <c r="U18" s="4">
        <f t="array" ref="U18:U57">_xll.SwIrsCpnDates(V5,V5,V12,V13,"RES:FIXED")</f>
        <v>43767</v>
      </c>
      <c r="V18">
        <f>IF(U18&lt;&gt;0,_xll.DfCountYears(V5,U18,$V$14),0)</f>
        <v>1</v>
      </c>
      <c r="X18" t="str">
        <f>_xll.RData(X17,,"RTFEED:IDN","LIVE:NO","RET:25",X19)</f>
        <v>Updated at 18:29:33</v>
      </c>
      <c r="AA18" t="str">
        <f>_xll.RData(AA17,,"RTFEED:IDN","LIVE:NO","RET:25",AA19)</f>
        <v>Updated at 18:29:33</v>
      </c>
    </row>
    <row r="19" spans="1:27" x14ac:dyDescent="0.25">
      <c r="A19" t="str">
        <f>main!$B$9 &amp; B19 &amp; "Z=R"</f>
        <v>EUR3YZ=R</v>
      </c>
      <c r="B19" t="s">
        <v>60</v>
      </c>
      <c r="C19" s="4" t="str">
        <f>_xll.RtGet("IDN",A19,"GV1 DATE")</f>
        <v>Retrieving...</v>
      </c>
      <c r="D19" s="4" t="str">
        <f>_xll.RtGet("IDN",A19,"GV2 DATE")</f>
        <v>Retrieving...</v>
      </c>
      <c r="E19" s="4">
        <f t="shared" si="0"/>
        <v>45194</v>
      </c>
      <c r="F19" t="str">
        <f>_xll.RtGet("IDN",A19,"SECOND ACTIVY 1")</f>
        <v>Retrieving...</v>
      </c>
      <c r="N19" t="s">
        <v>59</v>
      </c>
      <c r="O19" s="4" t="e">
        <f ca="1">_xll.BdCalcCpn(O6,O7,,O16,"Ret:3")</f>
        <v>#VALUE!</v>
      </c>
      <c r="U19" s="4">
        <v>44133</v>
      </c>
      <c r="V19">
        <f>IF(U19&lt;&gt;0,_xll.DfCountYears(U18,U19,$V$14),0)</f>
        <v>1</v>
      </c>
      <c r="X19" s="102" t="s">
        <v>1038</v>
      </c>
      <c r="AA19" s="102" t="s">
        <v>13</v>
      </c>
    </row>
    <row r="20" spans="1:27" x14ac:dyDescent="0.25">
      <c r="A20" t="str">
        <f>main!$B$9 &amp; B20 &amp; "Z=R"</f>
        <v>EUR3Y3MZ=R</v>
      </c>
      <c r="B20" t="s">
        <v>61</v>
      </c>
      <c r="C20" s="4" t="str">
        <f>_xll.RtGet("IDN",A20,"GV1 DATE")</f>
        <v>Retrieving...</v>
      </c>
      <c r="D20" s="4" t="str">
        <f>_xll.RtGet("IDN",A20,"GV2 DATE")</f>
        <v>Retrieving...</v>
      </c>
      <c r="E20" s="4">
        <f t="shared" si="0"/>
        <v>45194</v>
      </c>
      <c r="F20" t="str">
        <f>_xll.RtGet("IDN",A20,"SECOND ACTIVY 1")</f>
        <v>Retrieving...</v>
      </c>
      <c r="N20" t="s">
        <v>522</v>
      </c>
      <c r="O20" s="14" t="str">
        <f>parseStructure(O15,"DATED:")</f>
        <v>17JAN2014</v>
      </c>
      <c r="U20" s="4">
        <v>44498</v>
      </c>
      <c r="V20">
        <f>IF(U20&lt;&gt;0,_xll.DfCountYears(U19,U20,$V$14),0)</f>
        <v>1</v>
      </c>
      <c r="X20" s="102" t="s">
        <v>1039</v>
      </c>
      <c r="AA20" s="102" t="s">
        <v>1014</v>
      </c>
    </row>
    <row r="21" spans="1:27" x14ac:dyDescent="0.25">
      <c r="A21" t="str">
        <f>main!$B$9 &amp; B21 &amp; "Z=R"</f>
        <v>EUR3Y6MZ=R</v>
      </c>
      <c r="B21" t="s">
        <v>62</v>
      </c>
      <c r="C21" s="4">
        <f>_xll.RtGet("IDN",A21,"GV1 DATE")</f>
        <v>43913</v>
      </c>
      <c r="D21" s="4">
        <f>_xll.RtGet("IDN",A21,"GV2 DATE")</f>
        <v>45194</v>
      </c>
      <c r="E21" s="4">
        <f t="shared" si="0"/>
        <v>45287</v>
      </c>
      <c r="F21">
        <f>_xll.RtGet("IDN",A21,"SECOND ACTIVY 1")</f>
        <v>1.008665218</v>
      </c>
      <c r="N21" t="s">
        <v>523</v>
      </c>
      <c r="O21" s="14" t="str">
        <f>parseStructure(O15,"ISSUE:")</f>
        <v>17JAN2014</v>
      </c>
      <c r="U21" s="4">
        <v>0</v>
      </c>
      <c r="V21">
        <f>IF(U21&lt;&gt;0,_xll.DfCountYears(U20,U21,$V$14),0)</f>
        <v>0</v>
      </c>
      <c r="X21" s="102" t="s">
        <v>1040</v>
      </c>
      <c r="AA21" s="102" t="s">
        <v>1015</v>
      </c>
    </row>
    <row r="22" spans="1:27" x14ac:dyDescent="0.25">
      <c r="A22" t="str">
        <f>main!$B$9 &amp; B22 &amp; "Z=R"</f>
        <v>EUR3Y9MZ=R</v>
      </c>
      <c r="B22" t="s">
        <v>63</v>
      </c>
      <c r="C22" s="4">
        <f>_xll.RtGet("IDN",A22,"GV1 DATE")</f>
        <v>43913</v>
      </c>
      <c r="D22" s="4">
        <f>_xll.RtGet("IDN",A22,"GV2 DATE")</f>
        <v>45287</v>
      </c>
      <c r="E22" s="4">
        <f t="shared" si="0"/>
        <v>45560</v>
      </c>
      <c r="F22">
        <f>_xll.RtGet("IDN",A22,"SECOND ACTIVY 1")</f>
        <v>1.0087859850000001</v>
      </c>
      <c r="N22" t="s">
        <v>524</v>
      </c>
      <c r="O22" s="73">
        <f>DATE(RIGHT(O20,4),MATCH(MID(O20,3,3),{"JAN";"FEB";"MAR";"APR";"MAY";"JUN";"JUL";"AUG";"SEP";"OCT";"NOV";"DEC"},0),LEFT(O20,2))</f>
        <v>41656</v>
      </c>
      <c r="U22" s="4">
        <v>0</v>
      </c>
      <c r="V22">
        <f>IF(U22&lt;&gt;0,_xll.DfCountYears(U21,U22,$V$14),0)</f>
        <v>0</v>
      </c>
      <c r="X22" s="102" t="s">
        <v>1041</v>
      </c>
      <c r="AA22" s="102" t="s">
        <v>1016</v>
      </c>
    </row>
    <row r="23" spans="1:27" x14ac:dyDescent="0.25">
      <c r="A23" t="str">
        <f>main!$B$9 &amp; B23 &amp; "Z=R"</f>
        <v>EUR4YZ=R</v>
      </c>
      <c r="B23" t="s">
        <v>64</v>
      </c>
      <c r="C23" s="4" t="str">
        <f>_xll.RtGet("IDN",A23,"GV1 DATE")</f>
        <v>Retrieving...</v>
      </c>
      <c r="D23" s="4" t="str">
        <f>_xll.RtGet("IDN",A23,"GV2 DATE")</f>
        <v>Retrieving...</v>
      </c>
      <c r="E23" s="4">
        <f t="shared" si="0"/>
        <v>45560</v>
      </c>
      <c r="F23" t="str">
        <f>_xll.RtGet("IDN",A23,"SECOND ACTIVY 1")</f>
        <v>Retrieving...</v>
      </c>
      <c r="N23" t="s">
        <v>525</v>
      </c>
      <c r="O23" s="73">
        <f>DATE(RIGHT(O21,4),MATCH(MID(O21,3,3),{"JAN";"FEB";"MAR";"APR";"MAY";"JUN";"JUL";"AUG";"SEP";"OCT";"NOV";"DEC"},0),LEFT(O21,2))</f>
        <v>41656</v>
      </c>
      <c r="U23" s="4">
        <v>0</v>
      </c>
      <c r="V23">
        <f>IF(U23&lt;&gt;0,_xll.DfCountYears(U22,U23,$V$14),0)</f>
        <v>0</v>
      </c>
      <c r="X23" s="102" t="s">
        <v>614</v>
      </c>
      <c r="AA23" s="102" t="s">
        <v>1017</v>
      </c>
    </row>
    <row r="24" spans="1:27" x14ac:dyDescent="0.25">
      <c r="A24" t="str">
        <f>main!$B$9 &amp; B24 &amp; "Z=R"</f>
        <v>EUR4Y3MZ=R</v>
      </c>
      <c r="B24" t="s">
        <v>65</v>
      </c>
      <c r="C24" s="4" t="str">
        <f>_xll.RtGet("IDN",A24,"GV1 DATE")</f>
        <v>Retrieving...</v>
      </c>
      <c r="D24" s="4" t="str">
        <f>_xll.RtGet("IDN",A24,"GV2 DATE")</f>
        <v>Retrieving...</v>
      </c>
      <c r="E24" s="4">
        <f t="shared" si="0"/>
        <v>45560</v>
      </c>
      <c r="F24" t="str">
        <f>_xll.RtGet("IDN",A24,"SECOND ACTIVY 1")</f>
        <v>Retrieving...</v>
      </c>
      <c r="K24" s="22"/>
      <c r="U24" s="4">
        <v>0</v>
      </c>
      <c r="V24">
        <f>IF(U24&lt;&gt;0,_xll.DfCountYears(U23,U24,$V$14),0)</f>
        <v>0</v>
      </c>
      <c r="X24" s="102" t="s">
        <v>1042</v>
      </c>
      <c r="AA24" s="102" t="s">
        <v>1018</v>
      </c>
    </row>
    <row r="25" spans="1:27" x14ac:dyDescent="0.25">
      <c r="A25" t="str">
        <f>main!$B$9 &amp; B25 &amp; "Z=R"</f>
        <v>EUR4Y6MZ=R</v>
      </c>
      <c r="B25" t="s">
        <v>66</v>
      </c>
      <c r="C25" s="4">
        <f>_xll.RtGet("IDN",A25,"GV1 DATE")</f>
        <v>43913</v>
      </c>
      <c r="D25" s="4">
        <f>_xll.RtGet("IDN",A25,"GV2 DATE")</f>
        <v>45560</v>
      </c>
      <c r="E25" s="4">
        <f t="shared" si="0"/>
        <v>45741</v>
      </c>
      <c r="F25">
        <f>_xll.RtGet("IDN",A25,"SECOND ACTIVY 1")</f>
        <v>1.0086914820000001</v>
      </c>
      <c r="K25" s="22"/>
      <c r="N25" s="16" t="s">
        <v>502</v>
      </c>
      <c r="O25" s="14" t="str">
        <f>parseStructure(O15,"ACC:")</f>
        <v>AA</v>
      </c>
      <c r="U25" s="4">
        <v>0</v>
      </c>
      <c r="V25">
        <f>IF(U25&lt;&gt;0,_xll.DfCountYears(U24,U25,$V$14),0)</f>
        <v>0</v>
      </c>
      <c r="X25" s="102" t="s">
        <v>1043</v>
      </c>
      <c r="AA25" s="102" t="s">
        <v>1019</v>
      </c>
    </row>
    <row r="26" spans="1:27" x14ac:dyDescent="0.25">
      <c r="A26" t="str">
        <f>main!$B$9 &amp; B26 &amp; "Z=R"</f>
        <v>EUR4Y9MZ=R</v>
      </c>
      <c r="B26" t="s">
        <v>67</v>
      </c>
      <c r="C26" s="4" t="str">
        <f>_xll.RtGet("IDN",A26,"GV1 DATE")</f>
        <v>Retrieving...</v>
      </c>
      <c r="D26" s="4" t="str">
        <f>_xll.RtGet("IDN",A26,"GV2 DATE")</f>
        <v>Retrieving...</v>
      </c>
      <c r="E26" s="4">
        <f t="shared" si="0"/>
        <v>45741</v>
      </c>
      <c r="F26" t="str">
        <f>_xll.RtGet("IDN",A26,"SECOND ACTIVY 1")</f>
        <v>Retrieving...</v>
      </c>
      <c r="K26" s="22"/>
      <c r="N26" s="61" t="s">
        <v>18</v>
      </c>
      <c r="O26" s="61" t="str">
        <f>VLOOKUP(O25,tables!Q2:R98,2,FALSE)</f>
        <v>Act/Act</v>
      </c>
      <c r="U26" s="4">
        <v>0</v>
      </c>
      <c r="V26">
        <f>IF(U26&lt;&gt;0,_xll.DfCountYears(U25,U26,$V$14),0)</f>
        <v>0</v>
      </c>
      <c r="X26" s="102" t="s">
        <v>1044</v>
      </c>
      <c r="AA26" s="102" t="s">
        <v>1020</v>
      </c>
    </row>
    <row r="27" spans="1:27" x14ac:dyDescent="0.25">
      <c r="A27" t="str">
        <f>main!$B$9 &amp; B27 &amp; "Z=R"</f>
        <v>EUR5YZ=R</v>
      </c>
      <c r="B27" t="s">
        <v>68</v>
      </c>
      <c r="C27" s="4">
        <f>_xll.RtGet("IDN",A27,"GV1 DATE")</f>
        <v>43913</v>
      </c>
      <c r="D27" s="4">
        <f>_xll.RtGet("IDN",A27,"GV2 DATE")</f>
        <v>45741</v>
      </c>
      <c r="E27" s="4">
        <f t="shared" si="0"/>
        <v>45925</v>
      </c>
      <c r="F27">
        <f>_xll.RtGet("IDN",A27,"SECOND ACTIVY 1")</f>
        <v>1.0083482020000001</v>
      </c>
      <c r="K27" s="22"/>
      <c r="U27" s="4">
        <v>0</v>
      </c>
      <c r="V27">
        <f>IF(U27&lt;&gt;0,_xll.DfCountYears(U26,U27,$V$14),0)</f>
        <v>0</v>
      </c>
      <c r="X27" s="102" t="s">
        <v>634</v>
      </c>
      <c r="AA27" s="102" t="s">
        <v>1021</v>
      </c>
    </row>
    <row r="28" spans="1:27" x14ac:dyDescent="0.25">
      <c r="A28" t="str">
        <f>main!$B$9 &amp; B28 &amp; "Z=R"</f>
        <v>EUR5Y3MZ=R</v>
      </c>
      <c r="B28" t="s">
        <v>69</v>
      </c>
      <c r="C28" s="4" t="str">
        <f>_xll.RtGet("IDN",A28,"GV1 DATE")</f>
        <v>Retrieving...</v>
      </c>
      <c r="D28" s="4" t="str">
        <f>_xll.RtGet("IDN",A28,"GV2 DATE")</f>
        <v>Retrieving...</v>
      </c>
      <c r="E28" s="4">
        <f t="shared" si="0"/>
        <v>45925</v>
      </c>
      <c r="F28" t="str">
        <f>_xll.RtGet("IDN",A28,"SECOND ACTIVY 1")</f>
        <v>Retrieving...</v>
      </c>
      <c r="K28" s="22"/>
      <c r="U28" s="4">
        <v>0</v>
      </c>
      <c r="V28" s="82">
        <f>IF(U28&lt;&gt;0,_xll.DfCountYears(U27,U28,$V$14),0)</f>
        <v>0</v>
      </c>
      <c r="X28" s="102" t="s">
        <v>636</v>
      </c>
      <c r="AA28" s="102" t="s">
        <v>1022</v>
      </c>
    </row>
    <row r="29" spans="1:27" x14ac:dyDescent="0.25">
      <c r="A29" t="str">
        <f>main!$B$9 &amp; B29 &amp; "Z=R"</f>
        <v>EUR5Y6MZ=R</v>
      </c>
      <c r="B29" t="s">
        <v>70</v>
      </c>
      <c r="C29" s="4">
        <f>_xll.RtGet("IDN",A29,"GV1 DATE")</f>
        <v>43913</v>
      </c>
      <c r="D29" s="4">
        <f>_xll.RtGet("IDN",A29,"GV2 DATE")</f>
        <v>45925</v>
      </c>
      <c r="E29" s="4">
        <f t="shared" si="0"/>
        <v>46020</v>
      </c>
      <c r="F29">
        <f>_xll.RtGet("IDN",A29,"SECOND ACTIVY 1")</f>
        <v>1.0078085050000001</v>
      </c>
      <c r="K29" s="22"/>
      <c r="U29" s="4">
        <v>0</v>
      </c>
      <c r="V29" s="82">
        <f>IF(U29&lt;&gt;0,_xll.DfCountYears(U28,U29,$V$14),0)</f>
        <v>0</v>
      </c>
      <c r="X29" s="102" t="s">
        <v>1045</v>
      </c>
      <c r="AA29" s="102" t="s">
        <v>1023</v>
      </c>
    </row>
    <row r="30" spans="1:27" x14ac:dyDescent="0.25">
      <c r="A30" t="str">
        <f>main!$B$9 &amp; B30 &amp; "Z=R"</f>
        <v>EUR5Y9MZ=R</v>
      </c>
      <c r="B30" t="s">
        <v>71</v>
      </c>
      <c r="C30" s="4">
        <f>_xll.RtGet("IDN",A30,"GV1 DATE")</f>
        <v>43913</v>
      </c>
      <c r="D30" s="4">
        <f>_xll.RtGet("IDN",A30,"GV2 DATE")</f>
        <v>46020</v>
      </c>
      <c r="E30" s="4">
        <f t="shared" si="0"/>
        <v>46563</v>
      </c>
      <c r="F30">
        <f>_xll.RtGet("IDN",A30,"SECOND ACTIVY 1")</f>
        <v>1.007461537</v>
      </c>
      <c r="K30" s="22"/>
      <c r="U30" s="4">
        <v>0</v>
      </c>
      <c r="V30" s="82">
        <f>IF(U30&lt;&gt;0,_xll.DfCountYears(U29,U30,$V$14),0)</f>
        <v>0</v>
      </c>
      <c r="X30" s="102" t="s">
        <v>1046</v>
      </c>
      <c r="AA30" s="102" t="s">
        <v>1024</v>
      </c>
    </row>
    <row r="31" spans="1:27" x14ac:dyDescent="0.25">
      <c r="A31" t="str">
        <f>main!$B$9 &amp; B31 &amp; "Z=R"</f>
        <v>EUR6YZ=R</v>
      </c>
      <c r="B31" t="s">
        <v>72</v>
      </c>
      <c r="C31" s="4" t="str">
        <f>_xll.RtGet("IDN",A31,"GV1 DATE")</f>
        <v>Retrieving...</v>
      </c>
      <c r="D31" s="4" t="str">
        <f>_xll.RtGet("IDN",A31,"GV2 DATE")</f>
        <v>Retrieving...</v>
      </c>
      <c r="E31" s="4">
        <f t="shared" si="0"/>
        <v>46563</v>
      </c>
      <c r="F31" t="str">
        <f>_xll.RtGet("IDN",A31,"SECOND ACTIVY 1")</f>
        <v>Retrieving...</v>
      </c>
      <c r="K31" s="22"/>
      <c r="U31" s="4">
        <v>0</v>
      </c>
      <c r="V31" s="82">
        <f>IF(U31&lt;&gt;0,_xll.DfCountYears(U30,U31,$V$14),0)</f>
        <v>0</v>
      </c>
      <c r="AA31" s="102" t="s">
        <v>1025</v>
      </c>
    </row>
    <row r="32" spans="1:27" x14ac:dyDescent="0.25">
      <c r="A32" t="str">
        <f>main!$B$9 &amp; B32 &amp; "Z=R"</f>
        <v>EUR6Y3MZ=R</v>
      </c>
      <c r="B32" t="s">
        <v>73</v>
      </c>
      <c r="C32" s="4" t="str">
        <f>_xll.RtGet("IDN",A32,"GV1 DATE")</f>
        <v>Retrieving...</v>
      </c>
      <c r="D32" s="4" t="str">
        <f>_xll.RtGet("IDN",A32,"GV2 DATE")</f>
        <v>Retrieving...</v>
      </c>
      <c r="E32" s="4">
        <f t="shared" si="0"/>
        <v>46563</v>
      </c>
      <c r="F32" t="str">
        <f>_xll.RtGet("IDN",A32,"SECOND ACTIVY 1")</f>
        <v>Retrieving...</v>
      </c>
      <c r="K32" s="22"/>
      <c r="S32" s="22"/>
      <c r="U32" s="4">
        <v>0</v>
      </c>
      <c r="V32" s="82">
        <f>IF(U32&lt;&gt;0,_xll.DfCountYears(U31,U32,$V$14),0)</f>
        <v>0</v>
      </c>
      <c r="AA32" s="102" t="s">
        <v>1026</v>
      </c>
    </row>
    <row r="33" spans="1:27" x14ac:dyDescent="0.25">
      <c r="A33" t="str">
        <f>main!$B$9 &amp; B33 &amp; "Z=R"</f>
        <v>EUR6Y6MZ=R</v>
      </c>
      <c r="B33" t="s">
        <v>74</v>
      </c>
      <c r="C33" s="4" t="str">
        <f>_xll.RtGet("IDN",A33,"GV1 DATE")</f>
        <v>Retrieving...</v>
      </c>
      <c r="D33" s="4" t="str">
        <f>_xll.RtGet("IDN",A33,"GV2 DATE")</f>
        <v>Retrieving...</v>
      </c>
      <c r="E33" s="4">
        <f t="shared" si="0"/>
        <v>46563</v>
      </c>
      <c r="F33" t="str">
        <f>_xll.RtGet("IDN",A33,"SECOND ACTIVY 1")</f>
        <v>Retrieving...</v>
      </c>
      <c r="K33" s="22"/>
      <c r="S33" s="22"/>
      <c r="U33" s="4">
        <v>0</v>
      </c>
      <c r="V33" s="82">
        <f>IF(U33&lt;&gt;0,_xll.DfCountYears(U32,U33,$V$14),0)</f>
        <v>0</v>
      </c>
      <c r="AA33" s="102" t="s">
        <v>1027</v>
      </c>
    </row>
    <row r="34" spans="1:27" x14ac:dyDescent="0.25">
      <c r="A34" t="str">
        <f>main!$B$9 &amp; B34 &amp; "Z=R"</f>
        <v>EUR6Y9MZ=R</v>
      </c>
      <c r="B34" t="s">
        <v>75</v>
      </c>
      <c r="C34" s="4" t="str">
        <f>_xll.RtGet("IDN",A34,"GV1 DATE")</f>
        <v>Retrieving...</v>
      </c>
      <c r="D34" s="4" t="str">
        <f>_xll.RtGet("IDN",A34,"GV2 DATE")</f>
        <v>Retrieving...</v>
      </c>
      <c r="E34" s="4">
        <f t="shared" si="0"/>
        <v>46563</v>
      </c>
      <c r="F34" t="str">
        <f>_xll.RtGet("IDN",A34,"SECOND ACTIVY 1")</f>
        <v>Retrieving...</v>
      </c>
      <c r="K34" s="22" t="s">
        <v>499</v>
      </c>
      <c r="L34">
        <f>1000-COUNTBLANK(K38:K1037)</f>
        <v>13</v>
      </c>
      <c r="N34" t="s">
        <v>500</v>
      </c>
      <c r="O34">
        <f>1000-COUNTBLANK(N38:N1037)</f>
        <v>1</v>
      </c>
      <c r="S34" s="22"/>
      <c r="U34" s="4">
        <v>0</v>
      </c>
      <c r="V34" s="82">
        <f>IF(U34&lt;&gt;0,_xll.DfCountYears(U33,U34,$V$14),0)</f>
        <v>0</v>
      </c>
      <c r="AA34" s="102" t="s">
        <v>1028</v>
      </c>
    </row>
    <row r="35" spans="1:27" x14ac:dyDescent="0.25">
      <c r="A35" t="str">
        <f>main!$B$9 &amp; B35 &amp; "Z=R"</f>
        <v>EUR7YZ=R</v>
      </c>
      <c r="B35" t="s">
        <v>76</v>
      </c>
      <c r="C35" s="4" t="str">
        <f>_xll.RtGet("IDN",A35,"GV1 DATE")</f>
        <v>Retrieving...</v>
      </c>
      <c r="D35" s="4" t="str">
        <f>_xll.RtGet("IDN",A35,"GV2 DATE")</f>
        <v>Retrieving...</v>
      </c>
      <c r="E35" s="4">
        <f t="shared" si="0"/>
        <v>46563</v>
      </c>
      <c r="F35" t="str">
        <f>_xll.RtGet("IDN",A35,"SECOND ACTIVY 1")</f>
        <v>Retrieving...</v>
      </c>
      <c r="O35" t="s">
        <v>519</v>
      </c>
      <c r="P35" s="61" t="s">
        <v>520</v>
      </c>
      <c r="S35" s="22"/>
      <c r="U35" s="4">
        <v>0</v>
      </c>
      <c r="V35" s="82">
        <f>IF(U35&lt;&gt;0,_xll.DfCountYears(U34,U35,$V$14),0)</f>
        <v>0</v>
      </c>
      <c r="AA35" s="102" t="s">
        <v>1029</v>
      </c>
    </row>
    <row r="36" spans="1:27" x14ac:dyDescent="0.25">
      <c r="A36" t="str">
        <f>main!$B$9 &amp; B36 &amp; "Z=R"</f>
        <v>EUR7Y3MZ=R</v>
      </c>
      <c r="B36" t="s">
        <v>77</v>
      </c>
      <c r="C36" s="4">
        <f>_xll.RtGet("IDN",A36,"GV1 DATE")</f>
        <v>43913</v>
      </c>
      <c r="D36" s="4">
        <f>_xll.RtGet("IDN",A36,"GV2 DATE")</f>
        <v>46563</v>
      </c>
      <c r="E36" s="4">
        <f t="shared" si="0"/>
        <v>46748</v>
      </c>
      <c r="F36">
        <f>_xll.RtGet("IDN",A36,"SECOND ACTIVY 1")</f>
        <v>1.0047028140000001</v>
      </c>
      <c r="K36" t="str">
        <f>"0#" &amp; VLOOKUP(main!B7,tables!A2:E98,2,) &amp; "TSYS="</f>
        <v>0#DETSYS=</v>
      </c>
      <c r="L36" s="4" t="e">
        <f t="array" aca="1" ref="L36:L50" ca="1">_xll.BdCashflows(L5,L7,0,L15,"RET:A600")</f>
        <v>#VALUE!</v>
      </c>
      <c r="N36" t="str">
        <f>"0#" &amp; VLOOKUP(main!B7,tables!A2:E98,2,) &amp; "TSY="</f>
        <v>0#DETSY=</v>
      </c>
      <c r="O36" s="4" t="e">
        <f t="array" aca="1" ref="O36:O135" ca="1">_xll.BdCashflows(O6,O7,O8,O16,"RET:A600")</f>
        <v>#VALUE!</v>
      </c>
      <c r="P36" s="23" t="e">
        <f t="array" ref="P36:P130">_xll.BdCashflows(O23,O7,O8,O16,"RET:A6000")</f>
        <v>#VALUE!</v>
      </c>
      <c r="S36" s="22"/>
      <c r="U36" s="4">
        <v>0</v>
      </c>
      <c r="V36" s="82">
        <f>IF(U36&lt;&gt;0,_xll.DfCountYears(U35,U36,$V$14),0)</f>
        <v>0</v>
      </c>
      <c r="AA36" s="102" t="s">
        <v>1030</v>
      </c>
    </row>
    <row r="37" spans="1:27" x14ac:dyDescent="0.25">
      <c r="A37" t="str">
        <f>main!$B$9 &amp; B37 &amp; "Z=R"</f>
        <v>EUR7Y6MZ=R</v>
      </c>
      <c r="B37" t="s">
        <v>78</v>
      </c>
      <c r="C37" s="4" t="str">
        <f>_xll.RtGet("IDN",A37,"GV1 DATE")</f>
        <v>Retrieving...</v>
      </c>
      <c r="D37" s="4" t="str">
        <f>_xll.RtGet("IDN",A37,"GV2 DATE")</f>
        <v>Retrieving...</v>
      </c>
      <c r="E37" s="4">
        <f t="shared" si="0"/>
        <v>46748</v>
      </c>
      <c r="F37" t="str">
        <f>_xll.RtGet("IDN",A37,"SECOND ACTIVY 1")</f>
        <v>Retrieving...</v>
      </c>
      <c r="K37" t="str">
        <f>_xll.RData(K36,,"RTFEED:IDN",,,K38)</f>
        <v>Updated at 18:31:27</v>
      </c>
      <c r="L37" s="4" t="e">
        <f ca="1"/>
        <v>#VALUE!</v>
      </c>
      <c r="N37" t="str">
        <f>_xll.RData(N36,,"RTFEED:IDN",,,N38)</f>
        <v>Retrieving...</v>
      </c>
      <c r="O37" s="4" t="e">
        <f ca="1"/>
        <v>#VALUE!</v>
      </c>
      <c r="P37" s="23" t="e">
        <v>#VALUE!</v>
      </c>
      <c r="S37" s="22"/>
      <c r="U37" s="4">
        <v>0</v>
      </c>
      <c r="V37" s="82">
        <f>IF(U37&lt;&gt;0,_xll.DfCountYears(U36,U37,$V$14),0)</f>
        <v>0</v>
      </c>
      <c r="AA37" s="102" t="s">
        <v>1031</v>
      </c>
    </row>
    <row r="38" spans="1:27" x14ac:dyDescent="0.25">
      <c r="A38" t="str">
        <f>main!$B$9 &amp; B38 &amp; "Z=R"</f>
        <v>EUR7Y9MZ=R</v>
      </c>
      <c r="B38" t="s">
        <v>79</v>
      </c>
      <c r="C38" s="4">
        <f>_xll.RtGet("IDN",A38,"GV1 DATE")</f>
        <v>43913</v>
      </c>
      <c r="D38" s="4">
        <f>_xll.RtGet("IDN",A38,"GV2 DATE")</f>
        <v>46748</v>
      </c>
      <c r="E38" s="4">
        <f t="shared" si="0"/>
        <v>46930</v>
      </c>
      <c r="F38">
        <f>_xll.RtGet("IDN",A38,"SECOND ACTIVY 1")</f>
        <v>1.003496495</v>
      </c>
      <c r="K38" s="102" t="s">
        <v>1004</v>
      </c>
      <c r="L38" s="4" t="e">
        <f ca="1"/>
        <v>#VALUE!</v>
      </c>
      <c r="N38" s="102"/>
      <c r="O38" s="4" t="e">
        <f ca="1"/>
        <v>#VALUE!</v>
      </c>
      <c r="P38" s="23" t="e">
        <v>#VALUE!</v>
      </c>
      <c r="S38" s="22"/>
      <c r="U38" s="4">
        <v>0</v>
      </c>
      <c r="V38" s="82">
        <f>IF(U38&lt;&gt;0,_xll.DfCountYears(U37,U38,$V$14),0)</f>
        <v>0</v>
      </c>
      <c r="AA38" s="102" t="s">
        <v>1032</v>
      </c>
    </row>
    <row r="39" spans="1:27" x14ac:dyDescent="0.25">
      <c r="A39" t="str">
        <f>main!$B$9 &amp; B39 &amp; "Z=R"</f>
        <v>EUR8YZ=R</v>
      </c>
      <c r="B39" t="s">
        <v>80</v>
      </c>
      <c r="C39" s="4" t="str">
        <f>_xll.RtGet("IDN",A39,"GV1 DATE")</f>
        <v>Retrieving...</v>
      </c>
      <c r="D39" s="4" t="str">
        <f>_xll.RtGet("IDN",A39,"GV2 DATE")</f>
        <v>Retrieving...</v>
      </c>
      <c r="E39" s="4">
        <f t="shared" si="0"/>
        <v>46930</v>
      </c>
      <c r="F39" t="str">
        <f>_xll.RtGet("IDN",A39,"SECOND ACTIVY 1")</f>
        <v>Retrieving...</v>
      </c>
      <c r="K39" s="102" t="s">
        <v>1005</v>
      </c>
      <c r="L39" s="4" t="e">
        <f ca="1"/>
        <v>#VALUE!</v>
      </c>
      <c r="N39" s="102"/>
      <c r="O39" s="4" t="e">
        <f ca="1"/>
        <v>#VALUE!</v>
      </c>
      <c r="P39" s="23" t="e">
        <v>#VALUE!</v>
      </c>
      <c r="U39" s="4">
        <v>0</v>
      </c>
      <c r="V39" s="82">
        <f>IF(U39&lt;&gt;0,_xll.DfCountYears(U38,U39,$V$14),0)</f>
        <v>0</v>
      </c>
      <c r="AA39" s="102" t="s">
        <v>1033</v>
      </c>
    </row>
    <row r="40" spans="1:27" x14ac:dyDescent="0.25">
      <c r="A40" t="str">
        <f>main!$B$9 &amp; B40 &amp; "Z=R"</f>
        <v>EUR8Y3MZ=R</v>
      </c>
      <c r="B40" t="s">
        <v>81</v>
      </c>
      <c r="C40" s="4">
        <f>_xll.RtGet("IDN",A40,"GV1 DATE")</f>
        <v>43913</v>
      </c>
      <c r="D40" s="4">
        <f>_xll.RtGet("IDN",A40,"GV2 DATE")</f>
        <v>46930</v>
      </c>
      <c r="E40" s="4">
        <f t="shared" si="0"/>
        <v>47203</v>
      </c>
      <c r="F40">
        <f>_xll.RtGet("IDN",A40,"SECOND ACTIVY 1")</f>
        <v>1.00219923</v>
      </c>
      <c r="K40" s="102" t="s">
        <v>714</v>
      </c>
      <c r="L40" s="4" t="e">
        <f ca="1"/>
        <v>#VALUE!</v>
      </c>
      <c r="N40" s="102"/>
      <c r="O40" s="4" t="e">
        <f ca="1"/>
        <v>#VALUE!</v>
      </c>
      <c r="P40" s="23" t="e">
        <v>#VALUE!</v>
      </c>
      <c r="U40" s="4">
        <v>0</v>
      </c>
      <c r="V40" s="82">
        <f>IF(U40&lt;&gt;0,_xll.DfCountYears(U39,U40,$V$14),0)</f>
        <v>0</v>
      </c>
      <c r="AA40" s="102" t="s">
        <v>1034</v>
      </c>
    </row>
    <row r="41" spans="1:27" x14ac:dyDescent="0.25">
      <c r="A41" t="str">
        <f>main!$B$9 &amp; B41 &amp; "Z=R"</f>
        <v>EUR8Y6MZ=R</v>
      </c>
      <c r="B41" t="s">
        <v>82</v>
      </c>
      <c r="C41" s="4" t="str">
        <f>_xll.RtGet("IDN",A41,"GV1 DATE")</f>
        <v>Retrieving...</v>
      </c>
      <c r="D41" s="4" t="str">
        <f>_xll.RtGet("IDN",A41,"GV2 DATE")</f>
        <v>Retrieving...</v>
      </c>
      <c r="E41" s="4">
        <f t="shared" si="0"/>
        <v>47203</v>
      </c>
      <c r="F41" t="str">
        <f>_xll.RtGet("IDN",A41,"SECOND ACTIVY 1")</f>
        <v>Retrieving...</v>
      </c>
      <c r="K41" s="102" t="s">
        <v>1006</v>
      </c>
      <c r="L41" s="4" t="e">
        <f ca="1"/>
        <v>#VALUE!</v>
      </c>
      <c r="N41" s="102"/>
      <c r="O41" s="4" t="e">
        <f ca="1"/>
        <v>#VALUE!</v>
      </c>
      <c r="P41" s="23" t="e">
        <v>#VALUE!</v>
      </c>
      <c r="U41" s="4">
        <v>0</v>
      </c>
      <c r="V41" s="82">
        <f>IF(U41&lt;&gt;0,_xll.DfCountYears(U40,U41,$V$14),0)</f>
        <v>0</v>
      </c>
      <c r="AA41" s="102" t="s">
        <v>1035</v>
      </c>
    </row>
    <row r="42" spans="1:27" x14ac:dyDescent="0.25">
      <c r="A42" t="str">
        <f>main!$B$9 &amp; B42 &amp; "Z=R"</f>
        <v>EUR8Y9MZ=R</v>
      </c>
      <c r="B42" t="s">
        <v>83</v>
      </c>
      <c r="C42" s="4" t="str">
        <f>_xll.RtGet("IDN",A42,"GV1 DATE")</f>
        <v>Retrieving...</v>
      </c>
      <c r="D42" s="4" t="str">
        <f>_xll.RtGet("IDN",A42,"GV2 DATE")</f>
        <v>Retrieving...</v>
      </c>
      <c r="E42" s="4">
        <f t="shared" si="0"/>
        <v>47203</v>
      </c>
      <c r="F42" t="str">
        <f>_xll.RtGet("IDN",A42,"SECOND ACTIVY 1")</f>
        <v>Retrieving...</v>
      </c>
      <c r="K42" s="102" t="s">
        <v>1007</v>
      </c>
      <c r="L42" s="4" t="e">
        <f ca="1"/>
        <v>#VALUE!</v>
      </c>
      <c r="N42" s="102"/>
      <c r="O42" s="4" t="e">
        <f ca="1"/>
        <v>#VALUE!</v>
      </c>
      <c r="P42" s="23" t="e">
        <v>#VALUE!</v>
      </c>
      <c r="R42" s="7"/>
      <c r="S42" s="24"/>
      <c r="U42" s="4" t="e">
        <v>#N/A</v>
      </c>
      <c r="AA42" s="102" t="s">
        <v>1036</v>
      </c>
    </row>
    <row r="43" spans="1:27" x14ac:dyDescent="0.25">
      <c r="A43" t="str">
        <f>main!$B$9 &amp; B43 &amp; "Z=R"</f>
        <v>EUR9YZ=R</v>
      </c>
      <c r="B43" t="s">
        <v>84</v>
      </c>
      <c r="C43" s="4">
        <f>_xll.RtGet("IDN",A43,"GV1 DATE")</f>
        <v>43913</v>
      </c>
      <c r="D43" s="4">
        <f>_xll.RtGet("IDN",A43,"GV2 DATE")</f>
        <v>47203</v>
      </c>
      <c r="E43" s="4">
        <f t="shared" si="0"/>
        <v>47386</v>
      </c>
      <c r="F43">
        <f>_xll.RtGet("IDN",A43,"SECOND ACTIVY 1")</f>
        <v>1.0000416090000002</v>
      </c>
      <c r="K43" s="103" t="s">
        <v>1008</v>
      </c>
      <c r="L43" s="4" t="e">
        <f ca="1"/>
        <v>#VALUE!</v>
      </c>
      <c r="N43" s="102"/>
      <c r="O43" s="4" t="e">
        <f ca="1"/>
        <v>#VALUE!</v>
      </c>
      <c r="P43" s="23" t="e">
        <v>#VALUE!</v>
      </c>
      <c r="R43" s="7"/>
      <c r="U43" s="4" t="e">
        <v>#N/A</v>
      </c>
      <c r="AA43" s="102" t="s">
        <v>1037</v>
      </c>
    </row>
    <row r="44" spans="1:27" x14ac:dyDescent="0.25">
      <c r="A44" t="str">
        <f>main!$B$9 &amp; B44 &amp; "Z=R"</f>
        <v>EUR9Y3MZ=R</v>
      </c>
      <c r="B44" t="s">
        <v>85</v>
      </c>
      <c r="C44" s="4" t="str">
        <f>_xll.RtGet("IDN",A44,"GV1 DATE")</f>
        <v>Retrieving...</v>
      </c>
      <c r="D44" s="4" t="str">
        <f>_xll.RtGet("IDN",A44,"GV2 DATE")</f>
        <v>Retrieving...</v>
      </c>
      <c r="E44" s="4">
        <f t="shared" si="0"/>
        <v>47386</v>
      </c>
      <c r="F44" t="str">
        <f>_xll.RtGet("IDN",A44,"SECOND ACTIVY 1")</f>
        <v>Retrieving...</v>
      </c>
      <c r="K44" s="103" t="s">
        <v>715</v>
      </c>
      <c r="L44" s="4" t="e">
        <f ca="1"/>
        <v>#VALUE!</v>
      </c>
      <c r="N44" s="102"/>
      <c r="O44" s="4" t="e">
        <f ca="1"/>
        <v>#VALUE!</v>
      </c>
      <c r="P44" s="23" t="e">
        <v>#VALUE!</v>
      </c>
      <c r="R44" s="7"/>
      <c r="U44" s="4" t="e">
        <v>#N/A</v>
      </c>
    </row>
    <row r="45" spans="1:27" x14ac:dyDescent="0.25">
      <c r="A45" t="str">
        <f>main!$B$9 &amp; B45 &amp; "Z=R"</f>
        <v>EUR9Y6MZ=R</v>
      </c>
      <c r="B45" t="s">
        <v>86</v>
      </c>
      <c r="C45" s="4">
        <f>_xll.RtGet("IDN",A45,"GV1 DATE")</f>
        <v>43913</v>
      </c>
      <c r="D45" s="4">
        <f>_xll.RtGet("IDN",A45,"GV2 DATE")</f>
        <v>47386</v>
      </c>
      <c r="E45" s="4">
        <f t="shared" si="0"/>
        <v>48298</v>
      </c>
      <c r="F45">
        <f>_xll.RtGet("IDN",A45,"SECOND ACTIVY 1")</f>
        <v>0.99843504800000005</v>
      </c>
      <c r="K45" s="103" t="s">
        <v>716</v>
      </c>
      <c r="L45" s="4" t="e">
        <f ca="1"/>
        <v>#VALUE!</v>
      </c>
      <c r="N45" s="102"/>
      <c r="O45" s="4" t="e">
        <f ca="1"/>
        <v>#VALUE!</v>
      </c>
      <c r="P45" s="23" t="e">
        <v>#VALUE!</v>
      </c>
      <c r="R45" s="25"/>
      <c r="U45" s="4" t="e">
        <v>#N/A</v>
      </c>
    </row>
    <row r="46" spans="1:27" x14ac:dyDescent="0.25">
      <c r="A46" t="str">
        <f>main!$B$9 &amp; B46 &amp; "Z=R"</f>
        <v>EUR9Y9MZ=R</v>
      </c>
      <c r="B46" t="s">
        <v>87</v>
      </c>
      <c r="C46" s="4" t="str">
        <f>_xll.RtGet("IDN",A46,"GV1 DATE")</f>
        <v>Retrieving...</v>
      </c>
      <c r="D46" s="4" t="str">
        <f>_xll.RtGet("IDN",A46,"GV2 DATE")</f>
        <v>Retrieving...</v>
      </c>
      <c r="E46" s="4">
        <f t="shared" si="0"/>
        <v>48298</v>
      </c>
      <c r="F46" t="str">
        <f>_xll.RtGet("IDN",A46,"SECOND ACTIVY 1")</f>
        <v>Retrieving...</v>
      </c>
      <c r="K46" s="103" t="s">
        <v>1009</v>
      </c>
      <c r="L46" s="4" t="e">
        <f ca="1"/>
        <v>#VALUE!</v>
      </c>
      <c r="N46" s="102"/>
      <c r="O46" s="4" t="e">
        <f ca="1"/>
        <v>#VALUE!</v>
      </c>
      <c r="P46" s="23" t="e">
        <v>#VALUE!</v>
      </c>
      <c r="R46" s="7"/>
      <c r="S46" s="26"/>
      <c r="U46" s="4" t="e">
        <v>#N/A</v>
      </c>
    </row>
    <row r="47" spans="1:27" x14ac:dyDescent="0.25">
      <c r="A47" t="str">
        <f>main!$B$9 &amp; B47 &amp; "Z=R"</f>
        <v>EUR10YZ=R</v>
      </c>
      <c r="B47" t="s">
        <v>88</v>
      </c>
      <c r="C47" s="4" t="str">
        <f>_xll.RtGet("IDN",A47,"GV1 DATE")</f>
        <v>Retrieving...</v>
      </c>
      <c r="D47" s="4" t="str">
        <f>_xll.RtGet("IDN",A47,"GV2 DATE")</f>
        <v>Retrieving...</v>
      </c>
      <c r="E47" s="4">
        <f t="shared" si="0"/>
        <v>48298</v>
      </c>
      <c r="F47" t="str">
        <f>_xll.RtGet("IDN",A47,"SECOND ACTIVY 1")</f>
        <v>Retrieving...</v>
      </c>
      <c r="K47" s="103" t="s">
        <v>1010</v>
      </c>
      <c r="L47" s="4" t="e">
        <f ca="1"/>
        <v>#VALUE!</v>
      </c>
      <c r="N47" s="102"/>
      <c r="O47" s="4" t="e">
        <f ca="1"/>
        <v>#VALUE!</v>
      </c>
      <c r="P47" s="23" t="e">
        <v>#VALUE!</v>
      </c>
      <c r="R47" s="7"/>
      <c r="S47" s="26"/>
      <c r="U47" s="4" t="e">
        <v>#N/A</v>
      </c>
    </row>
    <row r="48" spans="1:27" x14ac:dyDescent="0.25">
      <c r="A48" t="str">
        <f>main!$B$9 &amp; B48 &amp; "Z=R"</f>
        <v>EUR10Y3MZ=R</v>
      </c>
      <c r="B48" t="s">
        <v>89</v>
      </c>
      <c r="C48" s="4" t="str">
        <f>_xll.RtGet("IDN",A48,"GV1 DATE")</f>
        <v>#N/A The record could not be found</v>
      </c>
      <c r="D48" s="4" t="str">
        <f>_xll.RtGet("IDN",A48,"GV2 DATE")</f>
        <v>#N/A The record could not be found</v>
      </c>
      <c r="E48" s="4">
        <f t="shared" si="0"/>
        <v>48298</v>
      </c>
      <c r="F48" t="str">
        <f>_xll.RtGet("IDN",A48,"SECOND ACTIVY 1")</f>
        <v>#N/A The record could not be found</v>
      </c>
      <c r="K48" s="103" t="s">
        <v>1011</v>
      </c>
      <c r="L48" s="4" t="e">
        <f ca="1"/>
        <v>#VALUE!</v>
      </c>
      <c r="N48" s="102"/>
      <c r="O48" s="4" t="e">
        <f ca="1"/>
        <v>#VALUE!</v>
      </c>
      <c r="P48" s="23" t="e">
        <v>#VALUE!</v>
      </c>
      <c r="R48" s="7"/>
      <c r="U48" s="4" t="e">
        <v>#N/A</v>
      </c>
    </row>
    <row r="49" spans="1:22" x14ac:dyDescent="0.25">
      <c r="A49" t="str">
        <f>main!$B$9 &amp; B49 &amp; "Z=R"</f>
        <v>EUR10Y6MZ=R</v>
      </c>
      <c r="B49" t="s">
        <v>90</v>
      </c>
      <c r="C49" s="4" t="str">
        <f>_xll.RtGet("IDN",A49,"GV1 DATE")</f>
        <v>#N/A The record could not be found</v>
      </c>
      <c r="D49" s="4" t="str">
        <f>_xll.RtGet("IDN",A49,"GV2 DATE")</f>
        <v>#N/A The record could not be found</v>
      </c>
      <c r="E49" s="4">
        <f t="shared" si="0"/>
        <v>48298</v>
      </c>
      <c r="F49" t="str">
        <f>_xll.RtGet("IDN",A49,"SECOND ACTIVY 1")</f>
        <v>#N/A The record could not be found</v>
      </c>
      <c r="K49" s="103" t="s">
        <v>1012</v>
      </c>
      <c r="L49" s="4" t="e">
        <f ca="1"/>
        <v>#VALUE!</v>
      </c>
      <c r="N49" s="102"/>
      <c r="O49" s="4" t="e">
        <f ca="1"/>
        <v>#VALUE!</v>
      </c>
      <c r="P49" s="23" t="e">
        <v>#VALUE!</v>
      </c>
      <c r="R49" s="7"/>
      <c r="S49" s="27"/>
      <c r="U49" s="4" t="e">
        <v>#N/A</v>
      </c>
    </row>
    <row r="50" spans="1:22" x14ac:dyDescent="0.25">
      <c r="A50" t="str">
        <f>main!$B$9 &amp; B50 &amp; "Z=R"</f>
        <v>EUR10Y9MZ=R</v>
      </c>
      <c r="B50" t="s">
        <v>91</v>
      </c>
      <c r="C50" s="4" t="str">
        <f>_xll.RtGet("IDN",A50,"GV1 DATE")</f>
        <v>Retrieving...</v>
      </c>
      <c r="D50" s="4" t="str">
        <f>_xll.RtGet("IDN",A50,"GV2 DATE")</f>
        <v>Retrieving...</v>
      </c>
      <c r="E50" s="4">
        <f t="shared" si="0"/>
        <v>48298</v>
      </c>
      <c r="F50" t="str">
        <f>_xll.RtGet("IDN",A50,"SECOND ACTIVY 1")</f>
        <v>Retrieving...</v>
      </c>
      <c r="K50" s="103" t="s">
        <v>1013</v>
      </c>
      <c r="L50" s="4" t="e">
        <f ca="1"/>
        <v>#VALUE!</v>
      </c>
      <c r="N50" s="102"/>
      <c r="O50" s="4" t="e">
        <f ca="1"/>
        <v>#VALUE!</v>
      </c>
      <c r="P50" s="23" t="e">
        <v>#VALUE!</v>
      </c>
      <c r="U50" s="4" t="e">
        <v>#N/A</v>
      </c>
    </row>
    <row r="51" spans="1:22" x14ac:dyDescent="0.25">
      <c r="A51" t="str">
        <f>main!$B$9 &amp; B51 &amp; "Z=R"</f>
        <v>EUR11YZ=R</v>
      </c>
      <c r="B51" t="s">
        <v>92</v>
      </c>
      <c r="C51" s="4" t="str">
        <f>_xll.RtGet("IDN",A51,"GV1 DATE")</f>
        <v>Retrieving...</v>
      </c>
      <c r="D51" s="4" t="str">
        <f>_xll.RtGet("IDN",A51,"GV2 DATE")</f>
        <v>Retrieving...</v>
      </c>
      <c r="E51" s="4">
        <f t="shared" si="0"/>
        <v>48298</v>
      </c>
      <c r="F51" t="str">
        <f>_xll.RtGet("IDN",A51,"SECOND ACTIVY 1")</f>
        <v>Retrieving...</v>
      </c>
      <c r="K51" s="103"/>
      <c r="N51" s="102"/>
      <c r="O51" s="4" t="e">
        <f ca="1"/>
        <v>#VALUE!</v>
      </c>
      <c r="P51" s="23" t="e">
        <v>#VALUE!</v>
      </c>
      <c r="U51" s="4" t="e">
        <v>#N/A</v>
      </c>
    </row>
    <row r="52" spans="1:22" x14ac:dyDescent="0.25">
      <c r="A52" t="str">
        <f>main!$B$9 &amp; B52 &amp; "Z=R"</f>
        <v>EUR11Y3MZ=R</v>
      </c>
      <c r="B52" t="s">
        <v>93</v>
      </c>
      <c r="C52" s="4" t="str">
        <f>_xll.RtGet("IDN",A52,"GV1 DATE")</f>
        <v>Retrieving...</v>
      </c>
      <c r="D52" s="4" t="str">
        <f>_xll.RtGet("IDN",A52,"GV2 DATE")</f>
        <v>Retrieving...</v>
      </c>
      <c r="E52" s="4">
        <f t="shared" si="0"/>
        <v>48298</v>
      </c>
      <c r="F52" t="str">
        <f>_xll.RtGet("IDN",A52,"SECOND ACTIVY 1")</f>
        <v>Retrieving...</v>
      </c>
      <c r="K52" s="103"/>
      <c r="N52" s="102"/>
      <c r="O52" s="4" t="e">
        <f ca="1"/>
        <v>#VALUE!</v>
      </c>
      <c r="P52" s="23" t="e">
        <v>#VALUE!</v>
      </c>
      <c r="R52" s="7"/>
      <c r="U52" s="4" t="e">
        <v>#N/A</v>
      </c>
    </row>
    <row r="53" spans="1:22" x14ac:dyDescent="0.25">
      <c r="A53" t="str">
        <f>main!$B$9 &amp; B53 &amp; "Z=R"</f>
        <v>EUR11Y6MZ=R</v>
      </c>
      <c r="B53" t="s">
        <v>94</v>
      </c>
      <c r="C53" s="4" t="str">
        <f>_xll.RtGet("IDN",A53,"GV1 DATE")</f>
        <v>Retrieving...</v>
      </c>
      <c r="D53" s="4" t="str">
        <f>_xll.RtGet("IDN",A53,"GV2 DATE")</f>
        <v>Retrieving...</v>
      </c>
      <c r="E53" s="4">
        <f t="shared" si="0"/>
        <v>48298</v>
      </c>
      <c r="F53" t="str">
        <f>_xll.RtGet("IDN",A53,"SECOND ACTIVY 1")</f>
        <v>Retrieving...</v>
      </c>
      <c r="K53" s="103"/>
      <c r="N53" s="102"/>
      <c r="O53" s="4" t="e">
        <f ca="1"/>
        <v>#VALUE!</v>
      </c>
      <c r="P53" s="23" t="e">
        <v>#VALUE!</v>
      </c>
      <c r="U53" s="4" t="e">
        <v>#N/A</v>
      </c>
    </row>
    <row r="54" spans="1:22" x14ac:dyDescent="0.25">
      <c r="A54" t="str">
        <f>main!$B$9 &amp; B54 &amp; "Z=R"</f>
        <v>EUR11Y9MZ=R</v>
      </c>
      <c r="B54" t="s">
        <v>95</v>
      </c>
      <c r="C54" s="4" t="str">
        <f>_xll.RtGet("IDN",A54,"GV1 DATE")</f>
        <v>Retrieving...</v>
      </c>
      <c r="D54" s="4" t="str">
        <f>_xll.RtGet("IDN",A54,"GV2 DATE")</f>
        <v>Retrieving...</v>
      </c>
      <c r="E54" s="4">
        <f t="shared" si="0"/>
        <v>48298</v>
      </c>
      <c r="F54" t="str">
        <f>_xll.RtGet("IDN",A54,"SECOND ACTIVY 1")</f>
        <v>Retrieving...</v>
      </c>
      <c r="K54" s="103"/>
      <c r="N54" s="102"/>
      <c r="O54" s="4" t="e">
        <f ca="1"/>
        <v>#VALUE!</v>
      </c>
      <c r="P54" s="23" t="e">
        <v>#VALUE!</v>
      </c>
      <c r="S54" s="28"/>
      <c r="U54" s="4" t="e">
        <v>#N/A</v>
      </c>
    </row>
    <row r="55" spans="1:22" x14ac:dyDescent="0.25">
      <c r="A55" t="str">
        <f>main!$B$9 &amp; B55 &amp; "Z=R"</f>
        <v>EUR12YZ=R</v>
      </c>
      <c r="B55" t="s">
        <v>96</v>
      </c>
      <c r="C55" s="4">
        <f>_xll.RtGet("IDN",A55,"GV1 DATE")</f>
        <v>43913</v>
      </c>
      <c r="D55" s="4">
        <f>_xll.RtGet("IDN",A55,"GV2 DATE")</f>
        <v>48298</v>
      </c>
      <c r="E55" s="4">
        <f t="shared" si="0"/>
        <v>48663</v>
      </c>
      <c r="F55">
        <f>_xll.RtGet("IDN",A55,"SECOND ACTIVY 1")</f>
        <v>0.98885542800000004</v>
      </c>
      <c r="K55" s="103"/>
      <c r="N55" s="102"/>
      <c r="O55" s="4" t="e">
        <f ca="1"/>
        <v>#VALUE!</v>
      </c>
      <c r="P55" s="23" t="e">
        <v>#VALUE!</v>
      </c>
      <c r="U55" s="4" t="e">
        <v>#N/A</v>
      </c>
    </row>
    <row r="56" spans="1:22" x14ac:dyDescent="0.25">
      <c r="A56" t="str">
        <f>main!$B$9 &amp; B56 &amp; "Z=R"</f>
        <v>EUR12Y3MZ=R</v>
      </c>
      <c r="B56" t="s">
        <v>97</v>
      </c>
      <c r="C56" s="4" t="str">
        <f>_xll.RtGet("IDN",A56,"GV1 DATE")</f>
        <v>#N/A The record could not be found</v>
      </c>
      <c r="D56" s="4" t="str">
        <f>_xll.RtGet("IDN",A56,"GV2 DATE")</f>
        <v>#N/A The record could not be found</v>
      </c>
      <c r="E56" s="4">
        <f t="shared" si="0"/>
        <v>48663</v>
      </c>
      <c r="F56" t="str">
        <f>_xll.RtGet("IDN",A56,"SECOND ACTIVY 1")</f>
        <v>#N/A The record could not be found</v>
      </c>
      <c r="K56" s="103"/>
      <c r="N56" s="102"/>
      <c r="O56" s="4" t="e">
        <f ca="1"/>
        <v>#VALUE!</v>
      </c>
      <c r="P56" s="23" t="e">
        <v>#VALUE!</v>
      </c>
      <c r="U56" s="4" t="e">
        <v>#N/A</v>
      </c>
    </row>
    <row r="57" spans="1:22" x14ac:dyDescent="0.25">
      <c r="A57" t="str">
        <f>main!$B$9 &amp; B57 &amp; "Z=R"</f>
        <v>EUR12Y6MZ=R</v>
      </c>
      <c r="B57" t="s">
        <v>98</v>
      </c>
      <c r="C57" s="4" t="str">
        <f>_xll.RtGet("IDN",A57,"GV1 DATE")</f>
        <v>Retrieving...</v>
      </c>
      <c r="D57" s="4" t="str">
        <f>_xll.RtGet("IDN",A57,"GV2 DATE")</f>
        <v>Retrieving...</v>
      </c>
      <c r="E57" s="4">
        <f t="shared" si="0"/>
        <v>48663</v>
      </c>
      <c r="F57" t="str">
        <f>_xll.RtGet("IDN",A57,"SECOND ACTIVY 1")</f>
        <v>Retrieving...</v>
      </c>
      <c r="K57" s="103"/>
      <c r="N57" s="102"/>
      <c r="O57" s="4" t="e">
        <f ca="1"/>
        <v>#VALUE!</v>
      </c>
      <c r="P57" s="23" t="e">
        <v>#VALUE!</v>
      </c>
      <c r="U57" s="4" t="e">
        <v>#N/A</v>
      </c>
    </row>
    <row r="58" spans="1:22" x14ac:dyDescent="0.25">
      <c r="A58" t="str">
        <f>main!$B$9 &amp; B58 &amp; "Z=R"</f>
        <v>EUR12Y9MZ=R</v>
      </c>
      <c r="B58" t="s">
        <v>99</v>
      </c>
      <c r="C58" s="4" t="str">
        <f>_xll.RtGet("IDN",A58,"GV1 DATE")</f>
        <v>#N/A The record could not be found</v>
      </c>
      <c r="D58" s="4" t="str">
        <f>_xll.RtGet("IDN",A58,"GV2 DATE")</f>
        <v>#N/A The record could not be found</v>
      </c>
      <c r="E58" s="4">
        <f t="shared" si="0"/>
        <v>48663</v>
      </c>
      <c r="F58" t="str">
        <f>_xll.RtGet("IDN",A58,"SECOND ACTIVY 1")</f>
        <v>#N/A The record could not be found</v>
      </c>
      <c r="K58" s="103"/>
      <c r="N58" s="102"/>
      <c r="O58" s="4" t="e">
        <f ca="1"/>
        <v>#VALUE!</v>
      </c>
      <c r="P58" s="23" t="e">
        <v>#VALUE!</v>
      </c>
      <c r="U58" s="4"/>
    </row>
    <row r="59" spans="1:22" x14ac:dyDescent="0.25">
      <c r="A59" t="str">
        <f>main!$B$9 &amp; B59 &amp; "Z=R"</f>
        <v>EUR13YZ=R</v>
      </c>
      <c r="B59" t="s">
        <v>100</v>
      </c>
      <c r="C59" s="4">
        <f>_xll.RtGet("IDN",A59,"GV1 DATE")</f>
        <v>43913</v>
      </c>
      <c r="D59" s="4">
        <f>_xll.RtGet("IDN",A59,"GV2 DATE")</f>
        <v>48663</v>
      </c>
      <c r="E59" s="4">
        <f t="shared" si="0"/>
        <v>49395</v>
      </c>
      <c r="F59">
        <f>_xll.RtGet("IDN",A59,"SECOND ACTIVY 1")</f>
        <v>0.98442651600000008</v>
      </c>
      <c r="K59" s="103"/>
      <c r="N59" s="102"/>
      <c r="O59" s="4" t="e">
        <f ca="1"/>
        <v>#VALUE!</v>
      </c>
      <c r="P59" s="23" t="e">
        <v>#VALUE!</v>
      </c>
      <c r="U59" s="8" t="s">
        <v>101</v>
      </c>
    </row>
    <row r="60" spans="1:22" x14ac:dyDescent="0.25">
      <c r="A60" t="str">
        <f>main!$B$9 &amp; B60 &amp; "Z=R"</f>
        <v>EUR13Y3MZ=R</v>
      </c>
      <c r="B60" t="s">
        <v>102</v>
      </c>
      <c r="C60" s="4" t="str">
        <f>_xll.RtGet("IDN",A60,"GV1 DATE")</f>
        <v>#N/A The record could not be found</v>
      </c>
      <c r="D60" s="4" t="str">
        <f>_xll.RtGet("IDN",A60,"GV2 DATE")</f>
        <v>#N/A The record could not be found</v>
      </c>
      <c r="E60" s="4">
        <f t="shared" si="0"/>
        <v>49395</v>
      </c>
      <c r="F60" t="str">
        <f>_xll.RtGet("IDN",A60,"SECOND ACTIVY 1")</f>
        <v>#N/A The record could not be found</v>
      </c>
      <c r="K60" s="102"/>
      <c r="N60" s="102"/>
      <c r="O60" s="4" t="e">
        <f ca="1"/>
        <v>#VALUE!</v>
      </c>
      <c r="P60" s="23" t="e">
        <v>#VALUE!</v>
      </c>
      <c r="U60" s="4">
        <f t="array" ref="U60:U99">_xll.SwIrsCpnDates(V5,V5,V12,V13,"RES:FLOAT")</f>
        <v>43584</v>
      </c>
      <c r="V60">
        <f>IF(U60&lt;&gt;0,_xll.DfCountYears(V5,U60,$V$15),0)</f>
        <v>0.50555555555555554</v>
      </c>
    </row>
    <row r="61" spans="1:22" x14ac:dyDescent="0.25">
      <c r="A61" t="str">
        <f>main!$B$9 &amp; B61 &amp; "Z=R"</f>
        <v>EUR13Y6MZ=R</v>
      </c>
      <c r="B61" t="s">
        <v>103</v>
      </c>
      <c r="C61" s="4" t="str">
        <f>_xll.RtGet("IDN",A61,"GV1 DATE")</f>
        <v>#N/A The record could not be found</v>
      </c>
      <c r="D61" s="4" t="str">
        <f>_xll.RtGet("IDN",A61,"GV2 DATE")</f>
        <v>#N/A The record could not be found</v>
      </c>
      <c r="E61" s="4">
        <f t="shared" si="0"/>
        <v>49395</v>
      </c>
      <c r="F61" t="str">
        <f>_xll.RtGet("IDN",A61,"SECOND ACTIVY 1")</f>
        <v>#N/A The record could not be found</v>
      </c>
      <c r="K61" s="102"/>
      <c r="N61" s="102"/>
      <c r="O61" s="4" t="e">
        <f ca="1"/>
        <v>#VALUE!</v>
      </c>
      <c r="P61" s="23" t="e">
        <v>#VALUE!</v>
      </c>
      <c r="U61" s="4">
        <v>43767</v>
      </c>
      <c r="V61">
        <f>IF(U61&lt;&gt;0,_xll.DfCountYears(U60,U61,$V$15),0)</f>
        <v>0.5083333333333333</v>
      </c>
    </row>
    <row r="62" spans="1:22" x14ac:dyDescent="0.25">
      <c r="A62" t="str">
        <f>main!$B$9 &amp; B62 &amp; "Z=R"</f>
        <v>EUR13Y9MZ=R</v>
      </c>
      <c r="B62" t="s">
        <v>104</v>
      </c>
      <c r="C62" s="4" t="str">
        <f>_xll.RtGet("IDN",A62,"GV1 DATE")</f>
        <v>Retrieving...</v>
      </c>
      <c r="D62" s="4" t="str">
        <f>_xll.RtGet("IDN",A62,"GV2 DATE")</f>
        <v>Retrieving...</v>
      </c>
      <c r="E62" s="4">
        <f t="shared" si="0"/>
        <v>49395</v>
      </c>
      <c r="F62" t="str">
        <f>_xll.RtGet("IDN",A62,"SECOND ACTIVY 1")</f>
        <v>Retrieving...</v>
      </c>
      <c r="K62" s="102"/>
      <c r="N62" s="102"/>
      <c r="O62" s="4" t="e">
        <f ca="1"/>
        <v>#VALUE!</v>
      </c>
      <c r="P62" s="23" t="e">
        <v>#VALUE!</v>
      </c>
      <c r="U62" s="4">
        <v>43950</v>
      </c>
      <c r="V62">
        <f>IF(U62&lt;&gt;0,_xll.DfCountYears(U61,U62,$V$15),0)</f>
        <v>0.5083333333333333</v>
      </c>
    </row>
    <row r="63" spans="1:22" x14ac:dyDescent="0.25">
      <c r="A63" t="str">
        <f>main!$B$9 &amp; B63 &amp; "Z=R"</f>
        <v>EUR14YZ=R</v>
      </c>
      <c r="B63" t="s">
        <v>105</v>
      </c>
      <c r="C63" s="4" t="str">
        <f>_xll.RtGet("IDN",A63,"GV1 DATE")</f>
        <v>Retrieving...</v>
      </c>
      <c r="D63" s="4" t="str">
        <f>_xll.RtGet("IDN",A63,"GV2 DATE")</f>
        <v>Retrieving...</v>
      </c>
      <c r="E63" s="4">
        <f t="shared" si="0"/>
        <v>49395</v>
      </c>
      <c r="F63" t="str">
        <f>_xll.RtGet("IDN",A63,"SECOND ACTIVY 1")</f>
        <v>Retrieving...</v>
      </c>
      <c r="K63" s="102"/>
      <c r="N63" s="102"/>
      <c r="O63" s="4" t="e">
        <f ca="1"/>
        <v>#VALUE!</v>
      </c>
      <c r="P63" s="23" t="e">
        <v>#VALUE!</v>
      </c>
      <c r="U63" s="4">
        <v>44133</v>
      </c>
      <c r="V63">
        <f>IF(U63&lt;&gt;0,_xll.DfCountYears(U62,U63,$V$15),0)</f>
        <v>0.5083333333333333</v>
      </c>
    </row>
    <row r="64" spans="1:22" x14ac:dyDescent="0.25">
      <c r="A64" t="str">
        <f>main!$B$9 &amp; B64 &amp; "Z=R"</f>
        <v>EUR14Y3MZ=R</v>
      </c>
      <c r="B64" t="s">
        <v>106</v>
      </c>
      <c r="C64" s="4" t="str">
        <f>_xll.RtGet("IDN",A64,"GV1 DATE")</f>
        <v>#N/A The record could not be found</v>
      </c>
      <c r="D64" s="4" t="str">
        <f>_xll.RtGet("IDN",A64,"GV2 DATE")</f>
        <v>#N/A The record could not be found</v>
      </c>
      <c r="E64" s="4">
        <f t="shared" si="0"/>
        <v>49395</v>
      </c>
      <c r="F64" t="str">
        <f>_xll.RtGet("IDN",A64,"SECOND ACTIVY 1")</f>
        <v>#N/A The record could not be found</v>
      </c>
      <c r="K64" s="102"/>
      <c r="N64" s="102"/>
      <c r="O64" s="4" t="e">
        <f ca="1"/>
        <v>#VALUE!</v>
      </c>
      <c r="P64" s="23" t="e">
        <v>#VALUE!</v>
      </c>
      <c r="U64" s="4">
        <v>44315</v>
      </c>
      <c r="V64">
        <f>IF(U64&lt;&gt;0,_xll.DfCountYears(U63,U64,$V$15),0)</f>
        <v>0.50555555555555554</v>
      </c>
    </row>
    <row r="65" spans="1:22" x14ac:dyDescent="0.25">
      <c r="A65" t="str">
        <f>main!$B$9 &amp; B65 &amp; "Z=R"</f>
        <v>EUR14Y6MZ=R</v>
      </c>
      <c r="B65" t="s">
        <v>107</v>
      </c>
      <c r="C65" s="4" t="str">
        <f>_xll.RtGet("IDN",A65,"GV1 DATE")</f>
        <v>Retrieving...</v>
      </c>
      <c r="D65" s="4" t="str">
        <f>_xll.RtGet("IDN",A65,"GV2 DATE")</f>
        <v>Retrieving...</v>
      </c>
      <c r="E65" s="4">
        <f t="shared" si="0"/>
        <v>49395</v>
      </c>
      <c r="F65" t="str">
        <f>_xll.RtGet("IDN",A65,"SECOND ACTIVY 1")</f>
        <v>Retrieving...</v>
      </c>
      <c r="K65" s="102"/>
      <c r="N65" s="102"/>
      <c r="O65" s="4" t="e">
        <f ca="1"/>
        <v>#VALUE!</v>
      </c>
      <c r="P65" s="23" t="e">
        <v>#VALUE!</v>
      </c>
      <c r="U65" s="4">
        <v>44498</v>
      </c>
      <c r="V65">
        <f>IF(U65&lt;&gt;0,_xll.DfCountYears(U64,U65,$V$15),0)</f>
        <v>0.5083333333333333</v>
      </c>
    </row>
    <row r="66" spans="1:22" x14ac:dyDescent="0.25">
      <c r="A66" t="str">
        <f>main!$B$9 &amp; B66 &amp; "Z=R"</f>
        <v>EUR14Y9MZ=R</v>
      </c>
      <c r="B66" t="s">
        <v>108</v>
      </c>
      <c r="C66" s="4" t="str">
        <f>_xll.RtGet("IDN",A66,"GV1 DATE")</f>
        <v>#N/A The record could not be found</v>
      </c>
      <c r="D66" s="4" t="str">
        <f>_xll.RtGet("IDN",A66,"GV2 DATE")</f>
        <v>#N/A The record could not be found</v>
      </c>
      <c r="E66" s="4">
        <f t="shared" si="0"/>
        <v>49395</v>
      </c>
      <c r="F66" t="str">
        <f>_xll.RtGet("IDN",A66,"SECOND ACTIVY 1")</f>
        <v>#N/A The record could not be found</v>
      </c>
      <c r="K66" s="102"/>
      <c r="N66" s="102"/>
      <c r="O66" s="4" t="e">
        <f ca="1"/>
        <v>#VALUE!</v>
      </c>
      <c r="P66" s="23" t="e">
        <v>#VALUE!</v>
      </c>
      <c r="U66" s="4">
        <v>0</v>
      </c>
      <c r="V66">
        <f>IF(U66&lt;&gt;0,_xll.DfCountYears(U65,U66,$V$15),0)</f>
        <v>0</v>
      </c>
    </row>
    <row r="67" spans="1:22" x14ac:dyDescent="0.25">
      <c r="A67" t="str">
        <f>main!$B$9 &amp; B67 &amp; "Z=R"</f>
        <v>EUR15YZ=R</v>
      </c>
      <c r="B67" t="s">
        <v>109</v>
      </c>
      <c r="C67" s="4">
        <f>_xll.RtGet("IDN",A67,"GV1 DATE")</f>
        <v>43913</v>
      </c>
      <c r="D67" s="4">
        <f>_xll.RtGet("IDN",A67,"GV2 DATE")</f>
        <v>49395</v>
      </c>
      <c r="E67" s="4" t="str">
        <f t="shared" ref="E67:E127" si="1">IF(ISNUMBER(D68),D68,E68)</f>
        <v>Retrieving...</v>
      </c>
      <c r="F67">
        <f>_xll.RtGet("IDN",A67,"SECOND ACTIVY 1")</f>
        <v>0.9757837760000001</v>
      </c>
      <c r="K67" s="102"/>
      <c r="N67" s="102"/>
      <c r="O67" s="4" t="e">
        <f ca="1"/>
        <v>#VALUE!</v>
      </c>
      <c r="P67" s="23" t="e">
        <v>#VALUE!</v>
      </c>
      <c r="U67" s="4">
        <v>0</v>
      </c>
      <c r="V67">
        <f>IF(U67&lt;&gt;0,_xll.DfCountYears(U66,U67,$V$15),0)</f>
        <v>0</v>
      </c>
    </row>
    <row r="68" spans="1:22" x14ac:dyDescent="0.25">
      <c r="A68" t="str">
        <f>main!$B$9 &amp; B68 &amp; "Z=R"</f>
        <v>EUR15Y3MZ=R</v>
      </c>
      <c r="B68" t="s">
        <v>110</v>
      </c>
      <c r="C68" s="4" t="str">
        <f>_xll.RtGet("IDN",A68,"GV1 DATE")</f>
        <v>Retrieving...</v>
      </c>
      <c r="D68" s="4" t="str">
        <f>_xll.RtGet("IDN",A68,"GV2 DATE")</f>
        <v>Retrieving...</v>
      </c>
      <c r="E68" s="4" t="str">
        <f t="shared" si="1"/>
        <v>Retrieving...</v>
      </c>
      <c r="F68" t="str">
        <f>_xll.RtGet("IDN",A68,"SECOND ACTIVY 1")</f>
        <v>Retrieving...</v>
      </c>
      <c r="K68" s="102"/>
      <c r="N68" s="102"/>
      <c r="O68" s="4" t="e">
        <f ca="1"/>
        <v>#VALUE!</v>
      </c>
      <c r="P68" s="23" t="e">
        <v>#VALUE!</v>
      </c>
      <c r="U68" s="4">
        <v>0</v>
      </c>
      <c r="V68">
        <f>IF(U68&lt;&gt;0,_xll.DfCountYears(U67,U68,$V$15),0)</f>
        <v>0</v>
      </c>
    </row>
    <row r="69" spans="1:22" x14ac:dyDescent="0.25">
      <c r="A69" t="str">
        <f>main!$B$9 &amp; B69 &amp; "Z=R"</f>
        <v>EUR15Y6MZ=R</v>
      </c>
      <c r="B69" t="s">
        <v>111</v>
      </c>
      <c r="C69" s="4" t="str">
        <f>_xll.RtGet("IDN",A69,"GV1 DATE")</f>
        <v>#N/A The record could not be found</v>
      </c>
      <c r="D69" s="4" t="str">
        <f>_xll.RtGet("IDN",A69,"GV2 DATE")</f>
        <v>#N/A The record could not be found</v>
      </c>
      <c r="E69" s="4" t="str">
        <f t="shared" si="1"/>
        <v>Retrieving...</v>
      </c>
      <c r="F69" t="str">
        <f>_xll.RtGet("IDN",A69,"SECOND ACTIVY 1")</f>
        <v>#N/A The record could not be found</v>
      </c>
      <c r="K69" s="102"/>
      <c r="N69" s="102"/>
      <c r="O69" s="4" t="e">
        <f ca="1"/>
        <v>#VALUE!</v>
      </c>
      <c r="P69" s="23" t="e">
        <v>#VALUE!</v>
      </c>
      <c r="U69" s="4">
        <v>0</v>
      </c>
      <c r="V69">
        <f>IF(U69&lt;&gt;0,_xll.DfCountYears(U68,U69,$V$15),0)</f>
        <v>0</v>
      </c>
    </row>
    <row r="70" spans="1:22" x14ac:dyDescent="0.25">
      <c r="A70" t="str">
        <f>main!$B$9 &amp; B70 &amp; "Z=R"</f>
        <v>EUR15Y9MZ=R</v>
      </c>
      <c r="B70" t="s">
        <v>112</v>
      </c>
      <c r="C70" s="4" t="str">
        <f>_xll.RtGet("IDN",A70,"GV1 DATE")</f>
        <v>#N/A The record could not be found</v>
      </c>
      <c r="D70" s="4" t="str">
        <f>_xll.RtGet("IDN",A70,"GV2 DATE")</f>
        <v>#N/A The record could not be found</v>
      </c>
      <c r="E70" s="4" t="str">
        <f t="shared" si="1"/>
        <v>Retrieving...</v>
      </c>
      <c r="F70" t="str">
        <f>_xll.RtGet("IDN",A70,"SECOND ACTIVY 1")</f>
        <v>#N/A The record could not be found</v>
      </c>
      <c r="K70" s="102"/>
      <c r="N70" s="102"/>
      <c r="O70" s="4" t="e">
        <f ca="1"/>
        <v>#VALUE!</v>
      </c>
      <c r="P70" s="23" t="e">
        <v>#VALUE!</v>
      </c>
      <c r="U70" s="4">
        <v>0</v>
      </c>
      <c r="V70">
        <f>IF(U70&lt;&gt;0,_xll.DfCountYears(U69,U70,$V$15),0)</f>
        <v>0</v>
      </c>
    </row>
    <row r="71" spans="1:22" x14ac:dyDescent="0.25">
      <c r="A71" t="str">
        <f>main!$B$9 &amp; B71 &amp; "Z=R"</f>
        <v>EUR16YZ=R</v>
      </c>
      <c r="B71" t="s">
        <v>113</v>
      </c>
      <c r="C71" s="4" t="str">
        <f>_xll.RtGet("IDN",A71,"GV1 DATE")</f>
        <v>Retrieving...</v>
      </c>
      <c r="D71" s="4" t="str">
        <f>_xll.RtGet("IDN",A71,"GV2 DATE")</f>
        <v>Retrieving...</v>
      </c>
      <c r="E71" s="4" t="str">
        <f t="shared" si="1"/>
        <v>Retrieving...</v>
      </c>
      <c r="F71" t="str">
        <f>_xll.RtGet("IDN",A71,"SECOND ACTIVY 1")</f>
        <v>Retrieving...</v>
      </c>
      <c r="K71" s="102"/>
      <c r="N71" s="102"/>
      <c r="O71" s="4" t="e">
        <f ca="1"/>
        <v>#VALUE!</v>
      </c>
      <c r="P71" s="23" t="e">
        <v>#VALUE!</v>
      </c>
      <c r="U71" s="4">
        <v>0</v>
      </c>
      <c r="V71">
        <f>IF(U71&lt;&gt;0,_xll.DfCountYears(U70,U71,$V$15),0)</f>
        <v>0</v>
      </c>
    </row>
    <row r="72" spans="1:22" x14ac:dyDescent="0.25">
      <c r="A72" t="str">
        <f>main!$B$9 &amp; B72 &amp; "Z=R"</f>
        <v>EUR16Y3MZ=R</v>
      </c>
      <c r="B72" t="s">
        <v>114</v>
      </c>
      <c r="C72" s="4" t="str">
        <f>_xll.RtGet("IDN",A72,"GV1 DATE")</f>
        <v>#N/A The record could not be found</v>
      </c>
      <c r="D72" s="4" t="str">
        <f>_xll.RtGet("IDN",A72,"GV2 DATE")</f>
        <v>#N/A The record could not be found</v>
      </c>
      <c r="E72" s="4" t="str">
        <f t="shared" si="1"/>
        <v>Retrieving...</v>
      </c>
      <c r="F72" t="str">
        <f>_xll.RtGet("IDN",A72,"SECOND ACTIVY 1")</f>
        <v>#N/A The record could not be found</v>
      </c>
      <c r="K72" s="102"/>
      <c r="N72" s="102"/>
      <c r="O72" s="4" t="e">
        <f ca="1"/>
        <v>#VALUE!</v>
      </c>
      <c r="P72" s="23" t="e">
        <v>#VALUE!</v>
      </c>
      <c r="U72" s="4">
        <v>0</v>
      </c>
      <c r="V72">
        <f>IF(U72&lt;&gt;0,_xll.DfCountYears(U71,U72,$V$15),0)</f>
        <v>0</v>
      </c>
    </row>
    <row r="73" spans="1:22" x14ac:dyDescent="0.25">
      <c r="A73" t="str">
        <f>main!$B$9 &amp; B73 &amp; "Z=R"</f>
        <v>EUR16Y6MZ=R</v>
      </c>
      <c r="B73" t="s">
        <v>115</v>
      </c>
      <c r="C73" s="4" t="str">
        <f>_xll.RtGet("IDN",A73,"GV1 DATE")</f>
        <v>#N/A The record could not be found</v>
      </c>
      <c r="D73" s="4" t="str">
        <f>_xll.RtGet("IDN",A73,"GV2 DATE")</f>
        <v>#N/A The record could not be found</v>
      </c>
      <c r="E73" s="4" t="str">
        <f t="shared" si="1"/>
        <v>Retrieving...</v>
      </c>
      <c r="F73" t="str">
        <f>_xll.RtGet("IDN",A73,"SECOND ACTIVY 1")</f>
        <v>#N/A The record could not be found</v>
      </c>
      <c r="K73" s="102"/>
      <c r="N73" s="102"/>
      <c r="O73" s="4" t="e">
        <f ca="1"/>
        <v>#VALUE!</v>
      </c>
      <c r="P73" s="23" t="e">
        <v>#VALUE!</v>
      </c>
      <c r="U73" s="4">
        <v>0</v>
      </c>
      <c r="V73">
        <f>IF(U73&lt;&gt;0,_xll.DfCountYears(U72,U73,$V$15),0)</f>
        <v>0</v>
      </c>
    </row>
    <row r="74" spans="1:22" x14ac:dyDescent="0.25">
      <c r="A74" t="str">
        <f>main!$B$9 &amp; B74 &amp; "Z=R"</f>
        <v>EUR16Y9MZ=R</v>
      </c>
      <c r="B74" t="s">
        <v>116</v>
      </c>
      <c r="C74" s="4" t="str">
        <f>_xll.RtGet("IDN",A74,"GV1 DATE")</f>
        <v>#N/A The record could not be found</v>
      </c>
      <c r="D74" s="4" t="str">
        <f>_xll.RtGet("IDN",A74,"GV2 DATE")</f>
        <v>#N/A The record could not be found</v>
      </c>
      <c r="E74" s="4" t="str">
        <f t="shared" si="1"/>
        <v>Retrieving...</v>
      </c>
      <c r="F74" t="str">
        <f>_xll.RtGet("IDN",A74,"SECOND ACTIVY 1")</f>
        <v>#N/A The record could not be found</v>
      </c>
      <c r="K74" s="102"/>
      <c r="N74" s="102"/>
      <c r="O74" s="4" t="e">
        <f ca="1"/>
        <v>#VALUE!</v>
      </c>
      <c r="P74" s="23" t="e">
        <v>#VALUE!</v>
      </c>
      <c r="U74" s="4">
        <v>0</v>
      </c>
      <c r="V74">
        <f>IF(U74&lt;&gt;0,_xll.DfCountYears(U73,U74,$V$15),0)</f>
        <v>0</v>
      </c>
    </row>
    <row r="75" spans="1:22" x14ac:dyDescent="0.25">
      <c r="A75" t="str">
        <f>main!$B$9 &amp; B75 &amp; "Z=R"</f>
        <v>EUR17YZ=R</v>
      </c>
      <c r="B75" t="s">
        <v>117</v>
      </c>
      <c r="C75" s="4" t="str">
        <f>_xll.RtGet("IDN",A75,"GV1 DATE")</f>
        <v>#N/A The record could not be found</v>
      </c>
      <c r="D75" s="4" t="str">
        <f>_xll.RtGet("IDN",A75,"GV2 DATE")</f>
        <v>#N/A The record could not be found</v>
      </c>
      <c r="E75" s="4" t="str">
        <f t="shared" si="1"/>
        <v>Retrieving...</v>
      </c>
      <c r="F75" t="str">
        <f>_xll.RtGet("IDN",A75,"SECOND ACTIVY 1")</f>
        <v>#N/A The record could not be found</v>
      </c>
      <c r="K75" s="102"/>
      <c r="N75" s="102"/>
      <c r="O75" s="4" t="e">
        <f ca="1"/>
        <v>#VALUE!</v>
      </c>
      <c r="P75" s="23" t="e">
        <v>#VALUE!</v>
      </c>
      <c r="U75" s="4">
        <v>0</v>
      </c>
      <c r="V75">
        <f>IF(U75&lt;&gt;0,_xll.DfCountYears(U74,U75,$V$15),0)</f>
        <v>0</v>
      </c>
    </row>
    <row r="76" spans="1:22" x14ac:dyDescent="0.25">
      <c r="A76" t="str">
        <f>main!$B$9 &amp; B76 &amp; "Z=R"</f>
        <v>EUR17Y3MZ=R</v>
      </c>
      <c r="B76" t="s">
        <v>118</v>
      </c>
      <c r="C76" s="4" t="str">
        <f>_xll.RtGet("IDN",A76,"GV1 DATE")</f>
        <v>#N/A The record could not be found</v>
      </c>
      <c r="D76" s="4" t="str">
        <f>_xll.RtGet("IDN",A76,"GV2 DATE")</f>
        <v>#N/A The record could not be found</v>
      </c>
      <c r="E76" s="4" t="str">
        <f t="shared" si="1"/>
        <v>Retrieving...</v>
      </c>
      <c r="F76" t="str">
        <f>_xll.RtGet("IDN",A76,"SECOND ACTIVY 1")</f>
        <v>#N/A The record could not be found</v>
      </c>
      <c r="K76" s="102"/>
      <c r="N76" s="102"/>
      <c r="O76" s="4" t="e">
        <f ca="1"/>
        <v>#VALUE!</v>
      </c>
      <c r="P76" s="23" t="e">
        <v>#VALUE!</v>
      </c>
      <c r="U76" s="4">
        <v>0</v>
      </c>
      <c r="V76">
        <f>IF(U76&lt;&gt;0,_xll.DfCountYears(U75,U76,$V$15),0)</f>
        <v>0</v>
      </c>
    </row>
    <row r="77" spans="1:22" x14ac:dyDescent="0.25">
      <c r="A77" t="str">
        <f>main!$B$9 &amp; B77 &amp; "Z=R"</f>
        <v>EUR17Y6MZ=R</v>
      </c>
      <c r="B77" t="s">
        <v>119</v>
      </c>
      <c r="C77" s="4" t="str">
        <f>_xll.RtGet("IDN",A77,"GV1 DATE")</f>
        <v>#N/A The record could not be found</v>
      </c>
      <c r="D77" s="4" t="str">
        <f>_xll.RtGet("IDN",A77,"GV2 DATE")</f>
        <v>#N/A The record could not be found</v>
      </c>
      <c r="E77" s="4" t="str">
        <f t="shared" si="1"/>
        <v>Retrieving...</v>
      </c>
      <c r="F77" t="str">
        <f>_xll.RtGet("IDN",A77,"SECOND ACTIVY 1")</f>
        <v>#N/A The record could not be found</v>
      </c>
      <c r="K77" s="102"/>
      <c r="N77" s="102"/>
      <c r="O77" s="4" t="e">
        <f ca="1"/>
        <v>#VALUE!</v>
      </c>
      <c r="P77" s="23" t="e">
        <v>#VALUE!</v>
      </c>
      <c r="U77" s="4">
        <v>0</v>
      </c>
      <c r="V77">
        <f>IF(U77&lt;&gt;0,_xll.DfCountYears(U76,U77,$V$15),0)</f>
        <v>0</v>
      </c>
    </row>
    <row r="78" spans="1:22" x14ac:dyDescent="0.25">
      <c r="A78" t="str">
        <f>main!$B$9 &amp; B78 &amp; "Z=R"</f>
        <v>EUR17Y9MZ=R</v>
      </c>
      <c r="B78" t="s">
        <v>120</v>
      </c>
      <c r="C78" s="4" t="str">
        <f>_xll.RtGet("IDN",A78,"GV1 DATE")</f>
        <v>Retrieving...</v>
      </c>
      <c r="D78" s="4" t="str">
        <f>_xll.RtGet("IDN",A78,"GV2 DATE")</f>
        <v>Retrieving...</v>
      </c>
      <c r="E78" s="4" t="str">
        <f t="shared" si="1"/>
        <v>Retrieving...</v>
      </c>
      <c r="F78" t="str">
        <f>_xll.RtGet("IDN",A78,"SECOND ACTIVY 1")</f>
        <v>Retrieving...</v>
      </c>
      <c r="K78" s="102"/>
      <c r="N78" s="102"/>
      <c r="O78" s="4" t="e">
        <f ca="1"/>
        <v>#VALUE!</v>
      </c>
      <c r="P78" s="23" t="e">
        <v>#VALUE!</v>
      </c>
      <c r="U78" s="4">
        <v>0</v>
      </c>
      <c r="V78">
        <f>IF(U78&lt;&gt;0,_xll.DfCountYears(U77,U78,$V$15),0)</f>
        <v>0</v>
      </c>
    </row>
    <row r="79" spans="1:22" x14ac:dyDescent="0.25">
      <c r="A79" t="str">
        <f>main!$B$9 &amp; B79 &amp; "Z=R"</f>
        <v>EUR18YZ=R</v>
      </c>
      <c r="B79" t="s">
        <v>121</v>
      </c>
      <c r="C79" s="4" t="str">
        <f>_xll.RtGet("IDN",A79,"GV1 DATE")</f>
        <v>#N/A The record could not be found</v>
      </c>
      <c r="D79" s="4" t="str">
        <f>_xll.RtGet("IDN",A79,"GV2 DATE")</f>
        <v>#N/A The record could not be found</v>
      </c>
      <c r="E79" s="4" t="str">
        <f t="shared" si="1"/>
        <v>Retrieving...</v>
      </c>
      <c r="F79" t="str">
        <f>_xll.RtGet("IDN",A79,"SECOND ACTIVY 1")</f>
        <v>#N/A The record could not be found</v>
      </c>
      <c r="K79" s="102"/>
      <c r="N79" s="102"/>
      <c r="O79" s="4" t="e">
        <f ca="1"/>
        <v>#VALUE!</v>
      </c>
      <c r="P79" s="23" t="e">
        <v>#VALUE!</v>
      </c>
      <c r="U79" s="4">
        <v>0</v>
      </c>
      <c r="V79">
        <f>IF(U79&lt;&gt;0,_xll.DfCountYears(U78,U79,$V$15),0)</f>
        <v>0</v>
      </c>
    </row>
    <row r="80" spans="1:22" x14ac:dyDescent="0.25">
      <c r="A80" t="str">
        <f>main!$B$9 &amp; B80 &amp; "Z=R"</f>
        <v>EUR18Y3MZ=R</v>
      </c>
      <c r="B80" t="s">
        <v>122</v>
      </c>
      <c r="C80" s="4" t="str">
        <f>_xll.RtGet("IDN",A80,"GV1 DATE")</f>
        <v>#N/A The record could not be found</v>
      </c>
      <c r="D80" s="4" t="str">
        <f>_xll.RtGet("IDN",A80,"GV2 DATE")</f>
        <v>#N/A The record could not be found</v>
      </c>
      <c r="E80" s="4" t="str">
        <f t="shared" si="1"/>
        <v>Retrieving...</v>
      </c>
      <c r="F80" t="str">
        <f>_xll.RtGet("IDN",A80,"SECOND ACTIVY 1")</f>
        <v>#N/A The record could not be found</v>
      </c>
      <c r="K80" s="102"/>
      <c r="N80" s="102"/>
      <c r="O80" s="4" t="e">
        <f ca="1"/>
        <v>#VALUE!</v>
      </c>
      <c r="P80" s="23" t="e">
        <v>#VALUE!</v>
      </c>
      <c r="U80" s="4">
        <v>0</v>
      </c>
      <c r="V80">
        <f>IF(U80&lt;&gt;0,_xll.DfCountYears(U79,U80,$V$15),0)</f>
        <v>0</v>
      </c>
    </row>
    <row r="81" spans="1:22" x14ac:dyDescent="0.25">
      <c r="A81" t="str">
        <f>main!$B$9 &amp; B81 &amp; "Z=R"</f>
        <v>EUR18Y6MZ=R</v>
      </c>
      <c r="B81" t="s">
        <v>123</v>
      </c>
      <c r="C81" s="4" t="str">
        <f>_xll.RtGet("IDN",A81,"GV1 DATE")</f>
        <v>#N/A The record could not be found</v>
      </c>
      <c r="D81" s="4" t="str">
        <f>_xll.RtGet("IDN",A81,"GV2 DATE")</f>
        <v>#N/A The record could not be found</v>
      </c>
      <c r="E81" s="4" t="str">
        <f t="shared" si="1"/>
        <v>Retrieving...</v>
      </c>
      <c r="F81" t="str">
        <f>_xll.RtGet("IDN",A81,"SECOND ACTIVY 1")</f>
        <v>#N/A The record could not be found</v>
      </c>
      <c r="K81" s="102"/>
      <c r="N81" s="102"/>
      <c r="O81" s="4" t="e">
        <f ca="1"/>
        <v>#VALUE!</v>
      </c>
      <c r="P81" s="23" t="e">
        <v>#VALUE!</v>
      </c>
      <c r="U81" s="4">
        <v>0</v>
      </c>
      <c r="V81">
        <f>IF(U81&lt;&gt;0,_xll.DfCountYears(U80,U81,$V$15),0)</f>
        <v>0</v>
      </c>
    </row>
    <row r="82" spans="1:22" x14ac:dyDescent="0.25">
      <c r="A82" t="str">
        <f>main!$B$9 &amp; B82 &amp; "Z=R"</f>
        <v>EUR18Y9MZ=R</v>
      </c>
      <c r="B82" t="s">
        <v>124</v>
      </c>
      <c r="C82" s="4" t="str">
        <f>_xll.RtGet("IDN",A82,"GV1 DATE")</f>
        <v>Retrieving...</v>
      </c>
      <c r="D82" s="4" t="str">
        <f>_xll.RtGet("IDN",A82,"GV2 DATE")</f>
        <v>Retrieving...</v>
      </c>
      <c r="E82" s="4" t="str">
        <f t="shared" si="1"/>
        <v>Retrieving...</v>
      </c>
      <c r="F82" t="str">
        <f>_xll.RtGet("IDN",A82,"SECOND ACTIVY 1")</f>
        <v>Retrieving...</v>
      </c>
      <c r="K82" s="102"/>
      <c r="N82" s="102"/>
      <c r="O82" s="4" t="e">
        <f ca="1"/>
        <v>#VALUE!</v>
      </c>
      <c r="P82" s="23" t="e">
        <v>#VALUE!</v>
      </c>
      <c r="U82" s="4">
        <v>0</v>
      </c>
      <c r="V82">
        <f>IF(U82&lt;&gt;0,_xll.DfCountYears(U81,U82,$V$15),0)</f>
        <v>0</v>
      </c>
    </row>
    <row r="83" spans="1:22" x14ac:dyDescent="0.25">
      <c r="A83" t="str">
        <f>main!$B$9 &amp; B83 &amp; "Z=R"</f>
        <v>EUR19YZ=R</v>
      </c>
      <c r="B83" t="s">
        <v>125</v>
      </c>
      <c r="C83" s="4" t="str">
        <f>_xll.RtGet("IDN",A83,"GV1 DATE")</f>
        <v>Retrieving...</v>
      </c>
      <c r="D83" s="4" t="str">
        <f>_xll.RtGet("IDN",A83,"GV2 DATE")</f>
        <v>Retrieving...</v>
      </c>
      <c r="E83" s="4" t="str">
        <f t="shared" si="1"/>
        <v>Retrieving...</v>
      </c>
      <c r="F83" t="str">
        <f>_xll.RtGet("IDN",A83,"SECOND ACTIVY 1")</f>
        <v>Retrieving...</v>
      </c>
      <c r="K83" s="102"/>
      <c r="N83" s="102"/>
      <c r="O83" s="4" t="e">
        <f ca="1"/>
        <v>#VALUE!</v>
      </c>
      <c r="P83" s="23" t="e">
        <v>#VALUE!</v>
      </c>
      <c r="U83" s="4">
        <v>0</v>
      </c>
      <c r="V83">
        <f>IF(U83&lt;&gt;0,_xll.DfCountYears(U82,U83,$V$15),0)</f>
        <v>0</v>
      </c>
    </row>
    <row r="84" spans="1:22" x14ac:dyDescent="0.25">
      <c r="A84" t="str">
        <f>main!$B$9 &amp; B84 &amp; "Z=R"</f>
        <v>EUR19Y3MZ=R</v>
      </c>
      <c r="B84" t="s">
        <v>126</v>
      </c>
      <c r="C84" s="4" t="str">
        <f>_xll.RtGet("IDN",A84,"GV1 DATE")</f>
        <v>Retrieving...</v>
      </c>
      <c r="D84" s="4" t="str">
        <f>_xll.RtGet("IDN",A84,"GV2 DATE")</f>
        <v>Retrieving...</v>
      </c>
      <c r="E84" s="4" t="str">
        <f t="shared" si="1"/>
        <v>Retrieving...</v>
      </c>
      <c r="F84" t="str">
        <f>_xll.RtGet("IDN",A84,"SECOND ACTIVY 1")</f>
        <v>Retrieving...</v>
      </c>
      <c r="K84" s="102"/>
      <c r="N84" s="102"/>
      <c r="O84" s="4" t="e">
        <f ca="1"/>
        <v>#VALUE!</v>
      </c>
      <c r="P84" s="23" t="e">
        <v>#VALUE!</v>
      </c>
      <c r="U84" s="4" t="e">
        <v>#N/A</v>
      </c>
      <c r="V84" t="e">
        <f>IF(U84&lt;&gt;0,_xll.DfCountYears(U83,U84,$V$15),0)</f>
        <v>#N/A</v>
      </c>
    </row>
    <row r="85" spans="1:22" x14ac:dyDescent="0.25">
      <c r="A85" t="str">
        <f>main!$B$9 &amp; B85 &amp; "Z=R"</f>
        <v>EUR19Y6MZ=R</v>
      </c>
      <c r="B85" t="s">
        <v>127</v>
      </c>
      <c r="C85" s="4" t="str">
        <f>_xll.RtGet("IDN",A85,"GV1 DATE")</f>
        <v>Retrieving...</v>
      </c>
      <c r="D85" s="4" t="str">
        <f>_xll.RtGet("IDN",A85,"GV2 DATE")</f>
        <v>Retrieving...</v>
      </c>
      <c r="E85" s="4" t="str">
        <f t="shared" si="1"/>
        <v>Retrieving...</v>
      </c>
      <c r="F85" t="str">
        <f>_xll.RtGet("IDN",A85,"SECOND ACTIVY 1")</f>
        <v>Retrieving...</v>
      </c>
      <c r="K85" s="102"/>
      <c r="N85" s="102"/>
      <c r="O85" s="4" t="e">
        <f ca="1"/>
        <v>#VALUE!</v>
      </c>
      <c r="P85" s="23" t="e">
        <v>#VALUE!</v>
      </c>
      <c r="U85" s="4" t="e">
        <v>#N/A</v>
      </c>
      <c r="V85" t="e">
        <f>IF(U85&lt;&gt;0,_xll.DfCountYears(U84,U85,$V$15),0)</f>
        <v>#N/A</v>
      </c>
    </row>
    <row r="86" spans="1:22" x14ac:dyDescent="0.25">
      <c r="A86" t="str">
        <f>main!$B$9 &amp; B86 &amp; "Z=R"</f>
        <v>EUR19Y9MZ=R</v>
      </c>
      <c r="B86" t="s">
        <v>128</v>
      </c>
      <c r="C86" s="4" t="str">
        <f>_xll.RtGet("IDN",A86,"GV1 DATE")</f>
        <v>Retrieving...</v>
      </c>
      <c r="D86" s="4" t="str">
        <f>_xll.RtGet("IDN",A86,"GV2 DATE")</f>
        <v>Retrieving...</v>
      </c>
      <c r="E86" s="4" t="str">
        <f t="shared" si="1"/>
        <v>Retrieving...</v>
      </c>
      <c r="F86" t="str">
        <f>_xll.RtGet("IDN",A86,"SECOND ACTIVY 1")</f>
        <v>Retrieving...</v>
      </c>
      <c r="K86" s="102"/>
      <c r="N86" s="102"/>
      <c r="O86" s="4" t="e">
        <f ca="1"/>
        <v>#VALUE!</v>
      </c>
      <c r="P86" s="23" t="e">
        <v>#VALUE!</v>
      </c>
      <c r="U86" s="4" t="e">
        <v>#N/A</v>
      </c>
      <c r="V86" t="e">
        <f>IF(U86&lt;&gt;0,_xll.DfCountYears(U85,U86,$V$15),0)</f>
        <v>#N/A</v>
      </c>
    </row>
    <row r="87" spans="1:22" x14ac:dyDescent="0.25">
      <c r="A87" t="str">
        <f>main!$B$9 &amp; B87 &amp; "Z=R"</f>
        <v>EUR20YZ=R</v>
      </c>
      <c r="B87" t="s">
        <v>129</v>
      </c>
      <c r="C87" s="4" t="str">
        <f>_xll.RtGet("IDN",A87,"GV1 DATE")</f>
        <v>Retrieving...</v>
      </c>
      <c r="D87" s="4" t="str">
        <f>_xll.RtGet("IDN",A87,"GV2 DATE")</f>
        <v>Retrieving...</v>
      </c>
      <c r="E87" s="4" t="str">
        <f t="shared" si="1"/>
        <v>Retrieving...</v>
      </c>
      <c r="F87" t="str">
        <f>_xll.RtGet("IDN",A87,"SECOND ACTIVY 1")</f>
        <v>Retrieving...</v>
      </c>
      <c r="K87" s="102"/>
      <c r="N87" s="102"/>
      <c r="O87" s="4" t="e">
        <f ca="1"/>
        <v>#VALUE!</v>
      </c>
      <c r="P87" s="23" t="e">
        <v>#VALUE!</v>
      </c>
      <c r="U87" s="4" t="e">
        <v>#N/A</v>
      </c>
      <c r="V87" t="e">
        <f>IF(U87&lt;&gt;0,_xll.DfCountYears(U86,U87,$V$15),0)</f>
        <v>#N/A</v>
      </c>
    </row>
    <row r="88" spans="1:22" x14ac:dyDescent="0.25">
      <c r="A88" t="str">
        <f>main!$B$9 &amp; B88 &amp; "Z=R"</f>
        <v>EUR20Y3MZ=R</v>
      </c>
      <c r="B88" t="s">
        <v>130</v>
      </c>
      <c r="C88" s="4" t="str">
        <f>_xll.RtGet("IDN",A88,"GV1 DATE")</f>
        <v>#N/A The record could not be found</v>
      </c>
      <c r="D88" s="4" t="str">
        <f>_xll.RtGet("IDN",A88,"GV2 DATE")</f>
        <v>#N/A The record could not be found</v>
      </c>
      <c r="E88" s="4" t="str">
        <f t="shared" si="1"/>
        <v>Retrieving...</v>
      </c>
      <c r="F88" t="str">
        <f>_xll.RtGet("IDN",A88,"SECOND ACTIVY 1")</f>
        <v>#N/A The record could not be found</v>
      </c>
      <c r="K88" s="102"/>
      <c r="N88" s="102"/>
      <c r="O88" s="4" t="e">
        <f ca="1"/>
        <v>#VALUE!</v>
      </c>
      <c r="P88" s="23" t="e">
        <v>#VALUE!</v>
      </c>
      <c r="U88" s="4" t="e">
        <v>#N/A</v>
      </c>
      <c r="V88" t="e">
        <f>IF(U88&lt;&gt;0,_xll.DfCountYears(U87,U88,$V$15),0)</f>
        <v>#N/A</v>
      </c>
    </row>
    <row r="89" spans="1:22" x14ac:dyDescent="0.25">
      <c r="A89" t="str">
        <f>main!$B$9 &amp; B89 &amp; "Z=R"</f>
        <v>EUR20Y6MZ=R</v>
      </c>
      <c r="B89" t="s">
        <v>131</v>
      </c>
      <c r="C89" s="4" t="str">
        <f>_xll.RtGet("IDN",A89,"GV1 DATE")</f>
        <v>Retrieving...</v>
      </c>
      <c r="D89" s="4" t="str">
        <f>_xll.RtGet("IDN",A89,"GV2 DATE")</f>
        <v>Retrieving...</v>
      </c>
      <c r="E89" s="4" t="str">
        <f t="shared" si="1"/>
        <v>Retrieving...</v>
      </c>
      <c r="F89" t="str">
        <f>_xll.RtGet("IDN",A89,"SECOND ACTIVY 1")</f>
        <v>Retrieving...</v>
      </c>
      <c r="K89" s="102"/>
      <c r="N89" s="102"/>
      <c r="O89" s="4" t="e">
        <f ca="1"/>
        <v>#VALUE!</v>
      </c>
      <c r="P89" s="23" t="e">
        <v>#VALUE!</v>
      </c>
      <c r="U89" s="4" t="e">
        <v>#N/A</v>
      </c>
      <c r="V89" t="e">
        <f>IF(U89&lt;&gt;0,_xll.DfCountYears(U88,U89,$V$15),0)</f>
        <v>#N/A</v>
      </c>
    </row>
    <row r="90" spans="1:22" x14ac:dyDescent="0.25">
      <c r="A90" t="str">
        <f>main!$B$9 &amp; B90 &amp; "Z=R"</f>
        <v>EUR20Y9MZ=R</v>
      </c>
      <c r="B90" t="s">
        <v>132</v>
      </c>
      <c r="C90" s="4" t="str">
        <f>_xll.RtGet("IDN",A90,"GV1 DATE")</f>
        <v>Retrieving...</v>
      </c>
      <c r="D90" s="4" t="str">
        <f>_xll.RtGet("IDN",A90,"GV2 DATE")</f>
        <v>Retrieving...</v>
      </c>
      <c r="E90" s="4" t="str">
        <f t="shared" si="1"/>
        <v>Retrieving...</v>
      </c>
      <c r="F90" t="str">
        <f>_xll.RtGet("IDN",A90,"SECOND ACTIVY 1")</f>
        <v>Retrieving...</v>
      </c>
      <c r="K90" s="102"/>
      <c r="N90" s="102"/>
      <c r="O90" s="4" t="e">
        <f ca="1"/>
        <v>#VALUE!</v>
      </c>
      <c r="P90" s="23" t="e">
        <v>#VALUE!</v>
      </c>
      <c r="U90" s="4" t="e">
        <v>#N/A</v>
      </c>
      <c r="V90" t="e">
        <f>IF(U90&lt;&gt;0,_xll.DfCountYears(U89,U90,$V$15),0)</f>
        <v>#N/A</v>
      </c>
    </row>
    <row r="91" spans="1:22" x14ac:dyDescent="0.25">
      <c r="A91" t="str">
        <f>main!$B$9 &amp; B91 &amp; "Z=R"</f>
        <v>EUR21YZ=R</v>
      </c>
      <c r="B91" t="s">
        <v>133</v>
      </c>
      <c r="C91" s="4" t="str">
        <f>_xll.RtGet("IDN",A91,"GV1 DATE")</f>
        <v>Retrieving...</v>
      </c>
      <c r="D91" s="4" t="str">
        <f>_xll.RtGet("IDN",A91,"GV2 DATE")</f>
        <v>Retrieving...</v>
      </c>
      <c r="E91" s="4" t="str">
        <f t="shared" si="1"/>
        <v>Retrieving...</v>
      </c>
      <c r="F91" t="str">
        <f>_xll.RtGet("IDN",A91,"SECOND ACTIVY 1")</f>
        <v>Retrieving...</v>
      </c>
      <c r="K91" s="102"/>
      <c r="N91" s="102"/>
      <c r="O91" s="4" t="e">
        <f ca="1"/>
        <v>#VALUE!</v>
      </c>
      <c r="P91" s="23" t="e">
        <v>#VALUE!</v>
      </c>
      <c r="U91" s="4" t="e">
        <v>#N/A</v>
      </c>
      <c r="V91" t="e">
        <f>IF(U91&lt;&gt;0,_xll.DfCountYears(U90,U91,$V$15),0)</f>
        <v>#N/A</v>
      </c>
    </row>
    <row r="92" spans="1:22" x14ac:dyDescent="0.25">
      <c r="A92" t="str">
        <f>main!$B$9 &amp; B92 &amp; "Z=R"</f>
        <v>EUR21Y3MZ=R</v>
      </c>
      <c r="B92" t="s">
        <v>134</v>
      </c>
      <c r="C92" s="4" t="str">
        <f>_xll.RtGet("IDN",A92,"GV1 DATE")</f>
        <v>Retrieving...</v>
      </c>
      <c r="D92" s="4" t="str">
        <f>_xll.RtGet("IDN",A92,"GV2 DATE")</f>
        <v>Retrieving...</v>
      </c>
      <c r="E92" s="4" t="str">
        <f t="shared" si="1"/>
        <v>Retrieving...</v>
      </c>
      <c r="F92" t="str">
        <f>_xll.RtGet("IDN",A92,"SECOND ACTIVY 1")</f>
        <v>Retrieving...</v>
      </c>
      <c r="K92" s="102"/>
      <c r="N92" s="102"/>
      <c r="O92" s="4" t="e">
        <f ca="1"/>
        <v>#VALUE!</v>
      </c>
      <c r="P92" s="23" t="e">
        <v>#VALUE!</v>
      </c>
      <c r="U92" s="4" t="e">
        <v>#N/A</v>
      </c>
      <c r="V92" t="e">
        <f>IF(U92&lt;&gt;0,_xll.DfCountYears(U91,U92,$V$15),0)</f>
        <v>#N/A</v>
      </c>
    </row>
    <row r="93" spans="1:22" x14ac:dyDescent="0.25">
      <c r="A93" t="str">
        <f>main!$B$9 &amp; B93 &amp; "Z=R"</f>
        <v>EUR21Y6MZ=R</v>
      </c>
      <c r="B93" t="s">
        <v>135</v>
      </c>
      <c r="C93" s="4" t="str">
        <f>_xll.RtGet("IDN",A93,"GV1 DATE")</f>
        <v>Retrieving...</v>
      </c>
      <c r="D93" s="4" t="str">
        <f>_xll.RtGet("IDN",A93,"GV2 DATE")</f>
        <v>Retrieving...</v>
      </c>
      <c r="E93" s="4" t="str">
        <f t="shared" si="1"/>
        <v>Retrieving...</v>
      </c>
      <c r="F93" t="str">
        <f>_xll.RtGet("IDN",A93,"SECOND ACTIVY 1")</f>
        <v>Retrieving...</v>
      </c>
      <c r="K93" s="102"/>
      <c r="N93" s="102"/>
      <c r="O93" s="4" t="e">
        <f ca="1"/>
        <v>#VALUE!</v>
      </c>
      <c r="P93" s="23" t="e">
        <v>#VALUE!</v>
      </c>
      <c r="U93" s="4" t="e">
        <v>#N/A</v>
      </c>
      <c r="V93" t="e">
        <f>IF(U93&lt;&gt;0,_xll.DfCountYears(U92,U93,$V$15),0)</f>
        <v>#N/A</v>
      </c>
    </row>
    <row r="94" spans="1:22" x14ac:dyDescent="0.25">
      <c r="A94" t="str">
        <f>main!$B$9 &amp; B94 &amp; "Z=R"</f>
        <v>EUR21Y9MZ=R</v>
      </c>
      <c r="B94" t="s">
        <v>136</v>
      </c>
      <c r="C94" s="4" t="str">
        <f>_xll.RtGet("IDN",A94,"GV1 DATE")</f>
        <v>Retrieving...</v>
      </c>
      <c r="D94" s="4" t="str">
        <f>_xll.RtGet("IDN",A94,"GV2 DATE")</f>
        <v>Retrieving...</v>
      </c>
      <c r="E94" s="4" t="str">
        <f t="shared" si="1"/>
        <v>Retrieving...</v>
      </c>
      <c r="F94" t="str">
        <f>_xll.RtGet("IDN",A94,"SECOND ACTIVY 1")</f>
        <v>Retrieving...</v>
      </c>
      <c r="K94" s="99"/>
      <c r="N94" s="102"/>
      <c r="O94" s="4" t="e">
        <f ca="1"/>
        <v>#VALUE!</v>
      </c>
      <c r="P94" s="23" t="e">
        <v>#VALUE!</v>
      </c>
      <c r="U94" s="4" t="e">
        <v>#N/A</v>
      </c>
      <c r="V94" t="e">
        <f>IF(U94&lt;&gt;0,_xll.DfCountYears(U93,U94,$V$15),0)</f>
        <v>#N/A</v>
      </c>
    </row>
    <row r="95" spans="1:22" x14ac:dyDescent="0.25">
      <c r="A95" t="str">
        <f>main!$B$9 &amp; B95 &amp; "Z=R"</f>
        <v>EUR22YZ=R</v>
      </c>
      <c r="B95" t="s">
        <v>137</v>
      </c>
      <c r="C95" s="4" t="str">
        <f>_xll.RtGet("IDN",A95,"GV1 DATE")</f>
        <v>Retrieving...</v>
      </c>
      <c r="D95" s="4" t="str">
        <f>_xll.RtGet("IDN",A95,"GV2 DATE")</f>
        <v>Retrieving...</v>
      </c>
      <c r="E95" s="4" t="str">
        <f t="shared" si="1"/>
        <v>Retrieving...</v>
      </c>
      <c r="F95" t="str">
        <f>_xll.RtGet("IDN",A95,"SECOND ACTIVY 1")</f>
        <v>Retrieving...</v>
      </c>
      <c r="K95" s="99"/>
      <c r="N95" s="102"/>
      <c r="O95" s="4" t="e">
        <f ca="1"/>
        <v>#VALUE!</v>
      </c>
      <c r="P95" s="23" t="e">
        <v>#VALUE!</v>
      </c>
      <c r="U95" s="4" t="e">
        <v>#N/A</v>
      </c>
      <c r="V95" t="e">
        <f>IF(U95&lt;&gt;0,_xll.DfCountYears(U94,U95,$V$15),0)</f>
        <v>#N/A</v>
      </c>
    </row>
    <row r="96" spans="1:22" x14ac:dyDescent="0.25">
      <c r="A96" t="str">
        <f>main!$B$9 &amp; B96 &amp; "Z=R"</f>
        <v>EUR22Y3MZ=R</v>
      </c>
      <c r="B96" t="s">
        <v>138</v>
      </c>
      <c r="C96" s="4" t="str">
        <f>_xll.RtGet("IDN",A96,"GV1 DATE")</f>
        <v>Retrieving...</v>
      </c>
      <c r="D96" s="4" t="str">
        <f>_xll.RtGet("IDN",A96,"GV2 DATE")</f>
        <v>Retrieving...</v>
      </c>
      <c r="E96" s="4" t="str">
        <f t="shared" si="1"/>
        <v>Retrieving...</v>
      </c>
      <c r="F96" t="str">
        <f>_xll.RtGet("IDN",A96,"SECOND ACTIVY 1")</f>
        <v>Retrieving...</v>
      </c>
      <c r="K96" s="99"/>
      <c r="N96" s="102"/>
      <c r="O96" s="4" t="e">
        <f ca="1"/>
        <v>#VALUE!</v>
      </c>
      <c r="P96" s="23" t="e">
        <v>#VALUE!</v>
      </c>
      <c r="U96" s="4" t="e">
        <v>#N/A</v>
      </c>
      <c r="V96" t="e">
        <f>IF(U96&lt;&gt;0,_xll.DfCountYears(U95,U96,$V$15),0)</f>
        <v>#N/A</v>
      </c>
    </row>
    <row r="97" spans="1:24" x14ac:dyDescent="0.25">
      <c r="A97" t="str">
        <f>main!$B$9 &amp; B97 &amp; "Z=R"</f>
        <v>EUR22Y6MZ=R</v>
      </c>
      <c r="B97" t="s">
        <v>139</v>
      </c>
      <c r="C97" s="4" t="str">
        <f>_xll.RtGet("IDN",A97,"GV1 DATE")</f>
        <v>Retrieving...</v>
      </c>
      <c r="D97" s="4" t="str">
        <f>_xll.RtGet("IDN",A97,"GV2 DATE")</f>
        <v>Retrieving...</v>
      </c>
      <c r="E97" s="4" t="str">
        <f t="shared" si="1"/>
        <v>Retrieving...</v>
      </c>
      <c r="F97" t="str">
        <f>_xll.RtGet("IDN",A97,"SECOND ACTIVY 1")</f>
        <v>Retrieving...</v>
      </c>
      <c r="K97" s="99"/>
      <c r="N97" s="102"/>
      <c r="O97" s="4" t="e">
        <f ca="1"/>
        <v>#VALUE!</v>
      </c>
      <c r="P97" s="23" t="e">
        <v>#VALUE!</v>
      </c>
      <c r="U97" s="4" t="e">
        <v>#N/A</v>
      </c>
      <c r="V97" t="e">
        <f>IF(U97&lt;&gt;0,_xll.DfCountYears(U96,U97,$V$15),0)</f>
        <v>#N/A</v>
      </c>
    </row>
    <row r="98" spans="1:24" x14ac:dyDescent="0.25">
      <c r="A98" t="str">
        <f>main!$B$9 &amp; B98 &amp; "Z=R"</f>
        <v>EUR22Y9MZ=R</v>
      </c>
      <c r="B98" t="s">
        <v>140</v>
      </c>
      <c r="C98" s="4" t="str">
        <f>_xll.RtGet("IDN",A98,"GV1 DATE")</f>
        <v>Retrieving...</v>
      </c>
      <c r="D98" s="4" t="str">
        <f>_xll.RtGet("IDN",A98,"GV2 DATE")</f>
        <v>Retrieving...</v>
      </c>
      <c r="E98" s="4" t="str">
        <f t="shared" si="1"/>
        <v>Retrieving...</v>
      </c>
      <c r="F98" t="str">
        <f>_xll.RtGet("IDN",A98,"SECOND ACTIVY 1")</f>
        <v>Retrieving...</v>
      </c>
      <c r="K98" s="99"/>
      <c r="N98" s="102"/>
      <c r="O98" s="4" t="e">
        <f ca="1"/>
        <v>#VALUE!</v>
      </c>
      <c r="P98" s="23" t="e">
        <v>#VALUE!</v>
      </c>
      <c r="U98" s="4" t="e">
        <v>#N/A</v>
      </c>
      <c r="V98" t="e">
        <f>IF(U98&lt;&gt;0,_xll.DfCountYears(U97,U98,$V$15),0)</f>
        <v>#N/A</v>
      </c>
    </row>
    <row r="99" spans="1:24" x14ac:dyDescent="0.25">
      <c r="A99" t="str">
        <f>main!$B$9 &amp; B99 &amp; "Z=R"</f>
        <v>EUR23YZ=R</v>
      </c>
      <c r="B99" t="s">
        <v>141</v>
      </c>
      <c r="C99" s="4" t="str">
        <f>_xll.RtGet("IDN",A99,"GV1 DATE")</f>
        <v>Retrieving...</v>
      </c>
      <c r="D99" s="4" t="str">
        <f>_xll.RtGet("IDN",A99,"GV2 DATE")</f>
        <v>Retrieving...</v>
      </c>
      <c r="E99" s="4" t="str">
        <f t="shared" si="1"/>
        <v>Retrieving...</v>
      </c>
      <c r="F99" t="str">
        <f>_xll.RtGet("IDN",A99,"SECOND ACTIVY 1")</f>
        <v>Retrieving...</v>
      </c>
      <c r="K99" s="99"/>
      <c r="N99" s="102"/>
      <c r="O99" s="4" t="e">
        <f ca="1"/>
        <v>#VALUE!</v>
      </c>
      <c r="P99" s="23" t="e">
        <v>#VALUE!</v>
      </c>
      <c r="U99" s="4" t="e">
        <v>#N/A</v>
      </c>
      <c r="V99" t="e">
        <f>IF(U99&lt;&gt;0,_xll.DfCountYears(U98,U99,$V$15),0)</f>
        <v>#N/A</v>
      </c>
    </row>
    <row r="100" spans="1:24" x14ac:dyDescent="0.25">
      <c r="A100" t="str">
        <f>main!$B$9 &amp; B100 &amp; "Z=R"</f>
        <v>EUR23Y3MZ=R</v>
      </c>
      <c r="B100" t="s">
        <v>142</v>
      </c>
      <c r="C100" s="4" t="str">
        <f>_xll.RtGet("IDN",A100,"GV1 DATE")</f>
        <v>Retrieving...</v>
      </c>
      <c r="D100" s="4" t="str">
        <f>_xll.RtGet("IDN",A100,"GV2 DATE")</f>
        <v>Retrieving...</v>
      </c>
      <c r="E100" s="4" t="str">
        <f t="shared" si="1"/>
        <v>Retrieving...</v>
      </c>
      <c r="F100" t="str">
        <f>_xll.RtGet("IDN",A100,"SECOND ACTIVY 1")</f>
        <v>Retrieving...</v>
      </c>
      <c r="K100" s="99"/>
      <c r="N100" s="102"/>
      <c r="O100" s="4" t="e">
        <f ca="1"/>
        <v>#VALUE!</v>
      </c>
      <c r="P100" s="23" t="e">
        <v>#VALUE!</v>
      </c>
    </row>
    <row r="101" spans="1:24" x14ac:dyDescent="0.25">
      <c r="A101" t="str">
        <f>main!$B$9 &amp; B101 &amp; "Z=R"</f>
        <v>EUR23Y6MZ=R</v>
      </c>
      <c r="B101" t="s">
        <v>143</v>
      </c>
      <c r="C101" s="4" t="str">
        <f>_xll.RtGet("IDN",A101,"GV1 DATE")</f>
        <v>Retrieving...</v>
      </c>
      <c r="D101" s="4" t="str">
        <f>_xll.RtGet("IDN",A101,"GV2 DATE")</f>
        <v>Retrieving...</v>
      </c>
      <c r="E101" s="4" t="str">
        <f t="shared" si="1"/>
        <v>Retrieving...</v>
      </c>
      <c r="F101" t="str">
        <f>_xll.RtGet("IDN",A101,"SECOND ACTIVY 1")</f>
        <v>Retrieving...</v>
      </c>
      <c r="K101" s="99"/>
      <c r="N101" s="102"/>
      <c r="O101" s="4" t="e">
        <f ca="1"/>
        <v>#VALUE!</v>
      </c>
      <c r="P101" s="23" t="e">
        <v>#VALUE!</v>
      </c>
    </row>
    <row r="102" spans="1:24" x14ac:dyDescent="0.25">
      <c r="A102" t="str">
        <f>main!$B$9 &amp; B102 &amp; "Z=R"</f>
        <v>EUR23Y9MZ=R</v>
      </c>
      <c r="B102" t="s">
        <v>144</v>
      </c>
      <c r="C102" s="4" t="str">
        <f>_xll.RtGet("IDN",A102,"GV1 DATE")</f>
        <v>Retrieving...</v>
      </c>
      <c r="D102" s="4" t="str">
        <f>_xll.RtGet("IDN",A102,"GV2 DATE")</f>
        <v>Retrieving...</v>
      </c>
      <c r="E102" s="4" t="str">
        <f t="shared" si="1"/>
        <v>Retrieving...</v>
      </c>
      <c r="F102" t="str">
        <f>_xll.RtGet("IDN",A102,"SECOND ACTIVY 1")</f>
        <v>Retrieving...</v>
      </c>
      <c r="K102" s="99"/>
      <c r="N102" s="102"/>
      <c r="O102" s="4" t="e">
        <f ca="1"/>
        <v>#VALUE!</v>
      </c>
      <c r="P102" s="23" t="e">
        <v>#VALUE!</v>
      </c>
    </row>
    <row r="103" spans="1:24" x14ac:dyDescent="0.25">
      <c r="A103" t="str">
        <f>main!$B$9 &amp; B103 &amp; "Z=R"</f>
        <v>EUR24YZ=R</v>
      </c>
      <c r="B103" t="s">
        <v>145</v>
      </c>
      <c r="C103" s="4" t="str">
        <f>_xll.RtGet("IDN",A103,"GV1 DATE")</f>
        <v>Retrieving...</v>
      </c>
      <c r="D103" s="4" t="str">
        <f>_xll.RtGet("IDN",A103,"GV2 DATE")</f>
        <v>Retrieving...</v>
      </c>
      <c r="E103" s="4" t="str">
        <f t="shared" si="1"/>
        <v>Retrieving...</v>
      </c>
      <c r="F103" t="str">
        <f>_xll.RtGet("IDN",A103,"SECOND ACTIVY 1")</f>
        <v>Retrieving...</v>
      </c>
      <c r="K103" s="99"/>
      <c r="N103" s="102"/>
      <c r="O103" s="4" t="e">
        <f ca="1"/>
        <v>#VALUE!</v>
      </c>
      <c r="P103" s="23" t="e">
        <v>#VALUE!</v>
      </c>
    </row>
    <row r="104" spans="1:24" x14ac:dyDescent="0.25">
      <c r="A104" t="str">
        <f>main!$B$9 &amp; B104 &amp; "Z=R"</f>
        <v>EUR24Y3MZ=R</v>
      </c>
      <c r="B104" t="s">
        <v>146</v>
      </c>
      <c r="C104" s="4" t="str">
        <f>_xll.RtGet("IDN",A104,"GV1 DATE")</f>
        <v>#N/A The record could not be found</v>
      </c>
      <c r="D104" s="4" t="str">
        <f>_xll.RtGet("IDN",A104,"GV2 DATE")</f>
        <v>#N/A The record could not be found</v>
      </c>
      <c r="E104" s="4" t="str">
        <f t="shared" si="1"/>
        <v>Retrieving...</v>
      </c>
      <c r="F104" t="str">
        <f>_xll.RtGet("IDN",A104,"SECOND ACTIVY 1")</f>
        <v>#N/A The record could not be found</v>
      </c>
      <c r="K104" s="99"/>
      <c r="N104" s="102"/>
      <c r="O104" s="4" t="e">
        <f ca="1"/>
        <v>#VALUE!</v>
      </c>
      <c r="P104" s="23" t="e">
        <v>#VALUE!</v>
      </c>
    </row>
    <row r="105" spans="1:24" x14ac:dyDescent="0.25">
      <c r="A105" t="str">
        <f>main!$B$9 &amp; B105 &amp; "Z=R"</f>
        <v>EUR24Y6MZ=R</v>
      </c>
      <c r="B105" t="s">
        <v>147</v>
      </c>
      <c r="C105" s="4" t="str">
        <f>_xll.RtGet("IDN",A105,"GV1 DATE")</f>
        <v>#N/A The record could not be found</v>
      </c>
      <c r="D105" s="4" t="str">
        <f>_xll.RtGet("IDN",A105,"GV2 DATE")</f>
        <v>#N/A The record could not be found</v>
      </c>
      <c r="E105" s="4" t="str">
        <f t="shared" si="1"/>
        <v>Retrieving...</v>
      </c>
      <c r="F105" t="str">
        <f>_xll.RtGet("IDN",A105,"SECOND ACTIVY 1")</f>
        <v>#N/A The record could not be found</v>
      </c>
      <c r="K105" s="99"/>
      <c r="N105" s="102"/>
      <c r="O105" s="4" t="e">
        <f ca="1"/>
        <v>#VALUE!</v>
      </c>
      <c r="P105" s="23" t="e">
        <v>#VALUE!</v>
      </c>
      <c r="U105" s="7" t="s">
        <v>148</v>
      </c>
    </row>
    <row r="106" spans="1:24" x14ac:dyDescent="0.25">
      <c r="A106" t="str">
        <f>main!$B$9 &amp; B106 &amp; "Z=R"</f>
        <v>EUR24Y9MZ=R</v>
      </c>
      <c r="B106" t="s">
        <v>149</v>
      </c>
      <c r="C106" s="4" t="str">
        <f>_xll.RtGet("IDN",A106,"GV1 DATE")</f>
        <v>Retrieving...</v>
      </c>
      <c r="D106" s="4" t="str">
        <f>_xll.RtGet("IDN",A106,"GV2 DATE")</f>
        <v>Retrieving...</v>
      </c>
      <c r="E106" s="4" t="str">
        <f t="shared" si="1"/>
        <v>Retrieving...</v>
      </c>
      <c r="F106" t="str">
        <f>_xll.RtGet("IDN",A106,"SECOND ACTIVY 1")</f>
        <v>Retrieving...</v>
      </c>
      <c r="K106" s="99"/>
      <c r="N106" s="102"/>
      <c r="O106" s="4" t="e">
        <f ca="1"/>
        <v>#VALUE!</v>
      </c>
      <c r="P106" s="23" t="e">
        <v>#VALUE!</v>
      </c>
      <c r="R106" s="29"/>
      <c r="U106" s="29" t="str">
        <f>_xll.RData(V3 &amp;"IRS","GV4 Text",,,"RH:In CH:Fd",U107)</f>
        <v>Retrieving...</v>
      </c>
      <c r="X106" s="84"/>
    </row>
    <row r="107" spans="1:24" x14ac:dyDescent="0.25">
      <c r="A107" t="str">
        <f>main!$B$9 &amp; B107 &amp; "Z=R"</f>
        <v>EUR25YZ=R</v>
      </c>
      <c r="B107" t="s">
        <v>150</v>
      </c>
      <c r="C107" s="4" t="str">
        <f>_xll.RtGet("IDN",A107,"GV1 DATE")</f>
        <v>Retrieving...</v>
      </c>
      <c r="D107" s="4" t="str">
        <f>_xll.RtGet("IDN",A107,"GV2 DATE")</f>
        <v>Retrieving...</v>
      </c>
      <c r="E107" s="4" t="str">
        <f t="shared" si="1"/>
        <v>Retrieving...</v>
      </c>
      <c r="F107" t="str">
        <f>_xll.RtGet("IDN",A107,"SECOND ACTIVY 1")</f>
        <v>Retrieving...</v>
      </c>
      <c r="K107" s="99"/>
      <c r="N107" s="102"/>
      <c r="O107" s="4" t="e">
        <f ca="1"/>
        <v>#VALUE!</v>
      </c>
      <c r="P107" s="23" t="e">
        <v>#VALUE!</v>
      </c>
      <c r="R107" s="22"/>
      <c r="S107" s="22"/>
      <c r="U107" s="22"/>
      <c r="V107" s="22"/>
    </row>
    <row r="108" spans="1:24" x14ac:dyDescent="0.25">
      <c r="A108" t="str">
        <f>main!$B$9 &amp; B108 &amp; "Z=R"</f>
        <v>EUR25Y3MZ=R</v>
      </c>
      <c r="B108" t="s">
        <v>151</v>
      </c>
      <c r="C108" s="4" t="str">
        <f>_xll.RtGet("IDN",A108,"GV1 DATE")</f>
        <v>#N/A The record could not be found</v>
      </c>
      <c r="D108" s="4" t="str">
        <f>_xll.RtGet("IDN",A108,"GV2 DATE")</f>
        <v>#N/A The record could not be found</v>
      </c>
      <c r="E108" s="4" t="str">
        <f t="shared" si="1"/>
        <v>Retrieving...</v>
      </c>
      <c r="F108" t="str">
        <f>_xll.RtGet("IDN",A108,"SECOND ACTIVY 1")</f>
        <v>#N/A The record could not be found</v>
      </c>
      <c r="K108" s="99"/>
      <c r="N108" s="102"/>
      <c r="O108" s="4" t="e">
        <f ca="1"/>
        <v>#VALUE!</v>
      </c>
      <c r="P108" s="23" t="e">
        <v>#VALUE!</v>
      </c>
      <c r="S108" s="22"/>
      <c r="U108" s="102"/>
      <c r="V108" s="102"/>
      <c r="W108" s="19"/>
    </row>
    <row r="109" spans="1:24" x14ac:dyDescent="0.25">
      <c r="A109" t="str">
        <f>main!$B$9 &amp; B109 &amp; "Z=R"</f>
        <v>EUR25Y6MZ=R</v>
      </c>
      <c r="B109" t="s">
        <v>152</v>
      </c>
      <c r="C109" s="4" t="str">
        <f>_xll.RtGet("IDN",A109,"GV1 DATE")</f>
        <v>Retrieving...</v>
      </c>
      <c r="D109" s="4" t="str">
        <f>_xll.RtGet("IDN",A109,"GV2 DATE")</f>
        <v>Retrieving...</v>
      </c>
      <c r="E109" s="4" t="str">
        <f t="shared" si="1"/>
        <v>Retrieving...</v>
      </c>
      <c r="F109" t="str">
        <f>_xll.RtGet("IDN",A109,"SECOND ACTIVY 1")</f>
        <v>Retrieving...</v>
      </c>
      <c r="K109" s="99"/>
      <c r="N109" s="102"/>
      <c r="O109" s="4" t="e">
        <f ca="1"/>
        <v>#VALUE!</v>
      </c>
      <c r="P109" s="23" t="e">
        <v>#VALUE!</v>
      </c>
      <c r="S109" s="22"/>
      <c r="U109" s="102"/>
      <c r="V109" s="102"/>
      <c r="W109" s="19"/>
    </row>
    <row r="110" spans="1:24" x14ac:dyDescent="0.25">
      <c r="A110" t="str">
        <f>main!$B$9 &amp; B110 &amp; "Z=R"</f>
        <v>EUR25Y9MZ=R</v>
      </c>
      <c r="B110" t="s">
        <v>153</v>
      </c>
      <c r="C110" s="4" t="str">
        <f>_xll.RtGet("IDN",A110,"GV1 DATE")</f>
        <v>Retrieving...</v>
      </c>
      <c r="D110" s="4" t="str">
        <f>_xll.RtGet("IDN",A110,"GV2 DATE")</f>
        <v>Retrieving...</v>
      </c>
      <c r="E110" s="4" t="str">
        <f t="shared" si="1"/>
        <v>Retrieving...</v>
      </c>
      <c r="F110" t="str">
        <f>_xll.RtGet("IDN",A110,"SECOND ACTIVY 1")</f>
        <v>Retrieving...</v>
      </c>
      <c r="K110" s="99"/>
      <c r="N110" s="102"/>
      <c r="O110" s="4" t="e">
        <f ca="1"/>
        <v>#VALUE!</v>
      </c>
      <c r="P110" s="23" t="e">
        <v>#VALUE!</v>
      </c>
      <c r="S110" s="22"/>
      <c r="U110" s="102"/>
      <c r="V110" s="22"/>
      <c r="W110" s="19"/>
    </row>
    <row r="111" spans="1:24" x14ac:dyDescent="0.25">
      <c r="A111" t="str">
        <f>main!$B$9 &amp; B111 &amp; "Z=R"</f>
        <v>EUR26YZ=R</v>
      </c>
      <c r="B111" t="s">
        <v>154</v>
      </c>
      <c r="C111" s="4" t="str">
        <f>_xll.RtGet("IDN",A111,"GV1 DATE")</f>
        <v>Retrieving...</v>
      </c>
      <c r="D111" s="4" t="str">
        <f>_xll.RtGet("IDN",A111,"GV2 DATE")</f>
        <v>Retrieving...</v>
      </c>
      <c r="E111" s="4" t="str">
        <f t="shared" si="1"/>
        <v>Retrieving...</v>
      </c>
      <c r="F111" t="str">
        <f>_xll.RtGet("IDN",A111,"SECOND ACTIVY 1")</f>
        <v>Retrieving...</v>
      </c>
      <c r="K111" s="99"/>
      <c r="N111" s="102"/>
      <c r="O111" s="4" t="e">
        <f ca="1"/>
        <v>#VALUE!</v>
      </c>
      <c r="P111" s="23" t="e">
        <v>#VALUE!</v>
      </c>
      <c r="S111" s="22"/>
      <c r="U111" s="102"/>
      <c r="V111" s="102"/>
      <c r="W111" s="19"/>
    </row>
    <row r="112" spans="1:24" x14ac:dyDescent="0.25">
      <c r="A112" t="str">
        <f>main!$B$9 &amp; B112 &amp; "Z=R"</f>
        <v>EUR26Y3MZ=R</v>
      </c>
      <c r="B112" t="s">
        <v>155</v>
      </c>
      <c r="C112" s="4" t="str">
        <f>_xll.RtGet("IDN",A112,"GV1 DATE")</f>
        <v>Retrieving...</v>
      </c>
      <c r="D112" s="4" t="str">
        <f>_xll.RtGet("IDN",A112,"GV2 DATE")</f>
        <v>Retrieving...</v>
      </c>
      <c r="E112" s="4" t="str">
        <f t="shared" si="1"/>
        <v>Retrieving...</v>
      </c>
      <c r="F112" t="str">
        <f>_xll.RtGet("IDN",A112,"SECOND ACTIVY 1")</f>
        <v>Retrieving...</v>
      </c>
      <c r="K112" s="99"/>
      <c r="N112" s="102"/>
      <c r="O112" s="4" t="e">
        <f ca="1"/>
        <v>#VALUE!</v>
      </c>
      <c r="P112" s="23" t="e">
        <v>#VALUE!</v>
      </c>
      <c r="S112" s="22"/>
      <c r="U112" s="102"/>
      <c r="V112" s="102"/>
      <c r="W112" s="19"/>
    </row>
    <row r="113" spans="1:23" x14ac:dyDescent="0.25">
      <c r="A113" t="str">
        <f>main!$B$9 &amp; B113 &amp; "Z=R"</f>
        <v>EUR26Y6MZ=R</v>
      </c>
      <c r="B113" t="s">
        <v>156</v>
      </c>
      <c r="C113" s="4" t="str">
        <f>_xll.RtGet("IDN",A113,"GV1 DATE")</f>
        <v>Retrieving...</v>
      </c>
      <c r="D113" s="4" t="str">
        <f>_xll.RtGet("IDN",A113,"GV2 DATE")</f>
        <v>Retrieving...</v>
      </c>
      <c r="E113" s="4" t="str">
        <f t="shared" si="1"/>
        <v>Retrieving...</v>
      </c>
      <c r="F113" t="str">
        <f>_xll.RtGet("IDN",A113,"SECOND ACTIVY 1")</f>
        <v>Retrieving...</v>
      </c>
      <c r="K113" s="99"/>
      <c r="N113" s="102"/>
      <c r="O113" s="4" t="e">
        <f ca="1"/>
        <v>#VALUE!</v>
      </c>
      <c r="P113" s="23" t="e">
        <v>#VALUE!</v>
      </c>
      <c r="S113" s="22"/>
      <c r="U113" s="102"/>
      <c r="V113" s="102"/>
      <c r="W113" s="19"/>
    </row>
    <row r="114" spans="1:23" x14ac:dyDescent="0.25">
      <c r="A114" t="str">
        <f>main!$B$9 &amp; B114 &amp; "Z=R"</f>
        <v>EUR26Y9MZ=R</v>
      </c>
      <c r="B114" t="s">
        <v>157</v>
      </c>
      <c r="C114" s="4" t="str">
        <f>_xll.RtGet("IDN",A114,"GV1 DATE")</f>
        <v>#N/A The record could not be found</v>
      </c>
      <c r="D114" s="4" t="str">
        <f>_xll.RtGet("IDN",A114,"GV2 DATE")</f>
        <v>#N/A The record could not be found</v>
      </c>
      <c r="E114" s="4" t="str">
        <f t="shared" si="1"/>
        <v>Retrieving...</v>
      </c>
      <c r="F114" t="str">
        <f>_xll.RtGet("IDN",A114,"SECOND ACTIVY 1")</f>
        <v>#N/A The record could not be found</v>
      </c>
      <c r="K114" s="99"/>
      <c r="N114" s="102"/>
      <c r="O114" s="4" t="e">
        <f ca="1"/>
        <v>#VALUE!</v>
      </c>
      <c r="P114" s="23" t="e">
        <v>#VALUE!</v>
      </c>
      <c r="S114" s="22"/>
      <c r="U114" s="102"/>
      <c r="V114" s="102"/>
      <c r="W114" s="19"/>
    </row>
    <row r="115" spans="1:23" x14ac:dyDescent="0.25">
      <c r="A115" t="str">
        <f>main!$B$9 &amp; B115 &amp; "Z=R"</f>
        <v>EUR27YZ=R</v>
      </c>
      <c r="B115" t="s">
        <v>158</v>
      </c>
      <c r="C115" s="4" t="str">
        <f>_xll.RtGet("IDN",A115,"GV1 DATE")</f>
        <v>Retrieving...</v>
      </c>
      <c r="D115" s="4" t="str">
        <f>_xll.RtGet("IDN",A115,"GV2 DATE")</f>
        <v>Retrieving...</v>
      </c>
      <c r="E115" s="4" t="str">
        <f t="shared" si="1"/>
        <v>Retrieving...</v>
      </c>
      <c r="F115" t="str">
        <f>_xll.RtGet("IDN",A115,"SECOND ACTIVY 1")</f>
        <v>Retrieving...</v>
      </c>
      <c r="K115" s="99"/>
      <c r="N115" s="102"/>
      <c r="O115" s="4" t="e">
        <f ca="1"/>
        <v>#VALUE!</v>
      </c>
      <c r="P115" s="23" t="e">
        <v>#VALUE!</v>
      </c>
      <c r="S115" s="22"/>
      <c r="U115" s="102"/>
      <c r="V115" s="102"/>
      <c r="W115" s="19"/>
    </row>
    <row r="116" spans="1:23" x14ac:dyDescent="0.25">
      <c r="A116" t="str">
        <f>main!$B$9 &amp; B116 &amp; "Z=R"</f>
        <v>EUR27Y3MZ=R</v>
      </c>
      <c r="B116" t="s">
        <v>159</v>
      </c>
      <c r="C116" s="4" t="str">
        <f>_xll.RtGet("IDN",A116,"GV1 DATE")</f>
        <v>Retrieving...</v>
      </c>
      <c r="D116" s="4" t="str">
        <f>_xll.RtGet("IDN",A116,"GV2 DATE")</f>
        <v>Retrieving...</v>
      </c>
      <c r="E116" s="4" t="str">
        <f t="shared" si="1"/>
        <v>Retrieving...</v>
      </c>
      <c r="F116" t="str">
        <f>_xll.RtGet("IDN",A116,"SECOND ACTIVY 1")</f>
        <v>Retrieving...</v>
      </c>
      <c r="K116" s="99"/>
      <c r="N116" s="102"/>
      <c r="O116" s="4" t="e">
        <f ca="1"/>
        <v>#VALUE!</v>
      </c>
      <c r="P116" s="23" t="e">
        <v>#VALUE!</v>
      </c>
      <c r="S116" s="22"/>
      <c r="U116" s="102"/>
      <c r="V116" s="102"/>
      <c r="W116" s="19"/>
    </row>
    <row r="117" spans="1:23" x14ac:dyDescent="0.25">
      <c r="A117" t="str">
        <f>main!$B$9 &amp; B117 &amp; "Z=R"</f>
        <v>EUR27Y6MZ=R</v>
      </c>
      <c r="B117" t="s">
        <v>160</v>
      </c>
      <c r="C117" s="4" t="str">
        <f>_xll.RtGet("IDN",A117,"GV1 DATE")</f>
        <v>Retrieving...</v>
      </c>
      <c r="D117" s="4" t="str">
        <f>_xll.RtGet("IDN",A117,"GV2 DATE")</f>
        <v>Retrieving...</v>
      </c>
      <c r="E117" s="4" t="str">
        <f t="shared" si="1"/>
        <v>Retrieving...</v>
      </c>
      <c r="F117" t="str">
        <f>_xll.RtGet("IDN",A117,"SECOND ACTIVY 1")</f>
        <v>Retrieving...</v>
      </c>
      <c r="K117" s="99"/>
      <c r="N117" s="99"/>
      <c r="O117" s="4" t="e">
        <f ca="1"/>
        <v>#VALUE!</v>
      </c>
      <c r="P117" s="23" t="e">
        <v>#VALUE!</v>
      </c>
      <c r="S117" s="22"/>
      <c r="U117" s="102"/>
      <c r="V117" s="102"/>
      <c r="W117" s="19"/>
    </row>
    <row r="118" spans="1:23" x14ac:dyDescent="0.25">
      <c r="A118" t="str">
        <f>main!$B$9 &amp; B118 &amp; "Z=R"</f>
        <v>EUR27Y9MZ=R</v>
      </c>
      <c r="B118" t="s">
        <v>161</v>
      </c>
      <c r="C118" s="4" t="str">
        <f>_xll.RtGet("IDN",A118,"GV1 DATE")</f>
        <v>Retrieving...</v>
      </c>
      <c r="D118" s="4" t="str">
        <f>_xll.RtGet("IDN",A118,"GV2 DATE")</f>
        <v>Retrieving...</v>
      </c>
      <c r="E118" s="4" t="str">
        <f t="shared" si="1"/>
        <v>Retrieving...</v>
      </c>
      <c r="F118" t="str">
        <f>_xll.RtGet("IDN",A118,"SECOND ACTIVY 1")</f>
        <v>Retrieving...</v>
      </c>
      <c r="K118" s="99"/>
      <c r="N118" s="99"/>
      <c r="O118" s="4" t="e">
        <f ca="1"/>
        <v>#VALUE!</v>
      </c>
      <c r="P118" s="23" t="e">
        <v>#VALUE!</v>
      </c>
      <c r="S118" s="22"/>
      <c r="U118" s="102"/>
      <c r="V118" s="102"/>
      <c r="W118" s="19"/>
    </row>
    <row r="119" spans="1:23" x14ac:dyDescent="0.25">
      <c r="A119" t="str">
        <f>main!$B$9 &amp; B119 &amp; "Z=R"</f>
        <v>EUR28YZ=R</v>
      </c>
      <c r="B119" t="s">
        <v>162</v>
      </c>
      <c r="C119" s="4" t="str">
        <f>_xll.RtGet("IDN",A119,"GV1 DATE")</f>
        <v>#N/A The record could not be found</v>
      </c>
      <c r="D119" s="4" t="str">
        <f>_xll.RtGet("IDN",A119,"GV2 DATE")</f>
        <v>#N/A The record could not be found</v>
      </c>
      <c r="E119" s="4" t="str">
        <f t="shared" si="1"/>
        <v>Retrieving...</v>
      </c>
      <c r="F119" t="str">
        <f>_xll.RtGet("IDN",A119,"SECOND ACTIVY 1")</f>
        <v>#N/A The record could not be found</v>
      </c>
      <c r="K119" s="99"/>
      <c r="N119" s="99"/>
      <c r="O119" s="4" t="e">
        <f ca="1"/>
        <v>#VALUE!</v>
      </c>
      <c r="P119" s="23" t="e">
        <v>#VALUE!</v>
      </c>
      <c r="S119" s="22"/>
      <c r="U119" s="102"/>
      <c r="V119" s="102"/>
      <c r="W119" s="19"/>
    </row>
    <row r="120" spans="1:23" x14ac:dyDescent="0.25">
      <c r="A120" t="str">
        <f>main!$B$9 &amp; B120 &amp; "Z=R"</f>
        <v>EUR28Y3MZ=R</v>
      </c>
      <c r="B120" t="s">
        <v>163</v>
      </c>
      <c r="C120" s="4" t="str">
        <f>_xll.RtGet("IDN",A120,"GV1 DATE")</f>
        <v>Retrieving...</v>
      </c>
      <c r="D120" s="4" t="str">
        <f>_xll.RtGet("IDN",A120,"GV2 DATE")</f>
        <v>Retrieving...</v>
      </c>
      <c r="E120" s="4" t="str">
        <f t="shared" si="1"/>
        <v>Retrieving...</v>
      </c>
      <c r="F120" t="str">
        <f>_xll.RtGet("IDN",A120,"SECOND ACTIVY 1")</f>
        <v>Retrieving...</v>
      </c>
      <c r="K120" s="99"/>
      <c r="N120" s="99"/>
      <c r="O120" s="4" t="e">
        <f ca="1"/>
        <v>#VALUE!</v>
      </c>
      <c r="P120" s="23" t="e">
        <v>#VALUE!</v>
      </c>
      <c r="S120" s="22"/>
      <c r="U120" s="102"/>
      <c r="V120" s="102"/>
      <c r="W120" s="19"/>
    </row>
    <row r="121" spans="1:23" x14ac:dyDescent="0.25">
      <c r="A121" t="str">
        <f>main!$B$9 &amp; B121 &amp; "Z=R"</f>
        <v>EUR28Y6MZ=R</v>
      </c>
      <c r="B121" t="s">
        <v>164</v>
      </c>
      <c r="C121" s="4" t="str">
        <f>_xll.RtGet("IDN",A121,"GV1 DATE")</f>
        <v>Retrieving...</v>
      </c>
      <c r="D121" s="4" t="str">
        <f>_xll.RtGet("IDN",A121,"GV2 DATE")</f>
        <v>Retrieving...</v>
      </c>
      <c r="E121" s="4" t="str">
        <f t="shared" si="1"/>
        <v>Retrieving...</v>
      </c>
      <c r="F121" t="str">
        <f>_xll.RtGet("IDN",A121,"SECOND ACTIVY 1")</f>
        <v>Retrieving...</v>
      </c>
      <c r="K121" s="99"/>
      <c r="N121" s="99"/>
      <c r="O121" s="4" t="e">
        <f ca="1"/>
        <v>#VALUE!</v>
      </c>
      <c r="P121" s="23" t="e">
        <v>#VALUE!</v>
      </c>
      <c r="S121" s="22"/>
      <c r="U121" s="102"/>
      <c r="V121" s="102"/>
      <c r="W121" s="19"/>
    </row>
    <row r="122" spans="1:23" x14ac:dyDescent="0.25">
      <c r="A122" t="str">
        <f>main!$B$9 &amp; B122 &amp; "Z=R"</f>
        <v>EUR28Y9MZ=R</v>
      </c>
      <c r="B122" t="s">
        <v>165</v>
      </c>
      <c r="C122" s="4" t="str">
        <f>_xll.RtGet("IDN",A122,"GV1 DATE")</f>
        <v>Retrieving...</v>
      </c>
      <c r="D122" s="4" t="str">
        <f>_xll.RtGet("IDN",A122,"GV2 DATE")</f>
        <v>Retrieving...</v>
      </c>
      <c r="E122" s="4" t="str">
        <f t="shared" si="1"/>
        <v>Retrieving...</v>
      </c>
      <c r="F122" t="str">
        <f>_xll.RtGet("IDN",A122,"SECOND ACTIVY 1")</f>
        <v>Retrieving...</v>
      </c>
      <c r="K122" s="99"/>
      <c r="N122" s="99"/>
      <c r="O122" s="4" t="e">
        <f ca="1"/>
        <v>#VALUE!</v>
      </c>
      <c r="P122" s="23" t="e">
        <v>#VALUE!</v>
      </c>
      <c r="S122" s="22"/>
      <c r="U122" s="102"/>
      <c r="V122" s="102"/>
      <c r="W122" s="19"/>
    </row>
    <row r="123" spans="1:23" x14ac:dyDescent="0.25">
      <c r="A123" t="str">
        <f>main!$B$9 &amp; B123 &amp; "Z=R"</f>
        <v>EUR29YZ=R</v>
      </c>
      <c r="B123" t="s">
        <v>166</v>
      </c>
      <c r="C123" s="4" t="str">
        <f>_xll.RtGet("IDN",A123,"GV1 DATE")</f>
        <v>Retrieving...</v>
      </c>
      <c r="D123" s="4" t="str">
        <f>_xll.RtGet("IDN",A123,"GV2 DATE")</f>
        <v>Retrieving...</v>
      </c>
      <c r="E123" s="4" t="str">
        <f t="shared" si="1"/>
        <v>Retrieving...</v>
      </c>
      <c r="F123" t="str">
        <f>_xll.RtGet("IDN",A123,"SECOND ACTIVY 1")</f>
        <v>Retrieving...</v>
      </c>
      <c r="K123" s="99"/>
      <c r="N123" s="99"/>
      <c r="O123" s="4" t="e">
        <f ca="1"/>
        <v>#VALUE!</v>
      </c>
      <c r="P123" s="23" t="e">
        <v>#VALUE!</v>
      </c>
      <c r="S123" s="22"/>
      <c r="U123" s="102"/>
      <c r="V123" s="102"/>
      <c r="W123" s="19"/>
    </row>
    <row r="124" spans="1:23" x14ac:dyDescent="0.25">
      <c r="A124" t="str">
        <f>main!$B$9 &amp; B124 &amp; "Z=R"</f>
        <v>EUR29Y3MZ=R</v>
      </c>
      <c r="B124" t="s">
        <v>167</v>
      </c>
      <c r="C124" s="4" t="str">
        <f>_xll.RtGet("IDN",A124,"GV1 DATE")</f>
        <v>#N/A The record could not be found</v>
      </c>
      <c r="D124" s="4" t="str">
        <f>_xll.RtGet("IDN",A124,"GV2 DATE")</f>
        <v>#N/A The record could not be found</v>
      </c>
      <c r="E124" s="4" t="str">
        <f t="shared" si="1"/>
        <v>Retrieving...</v>
      </c>
      <c r="F124" t="str">
        <f>_xll.RtGet("IDN",A124,"SECOND ACTIVY 1")</f>
        <v>#N/A The record could not be found</v>
      </c>
      <c r="K124" s="99"/>
      <c r="N124" s="99"/>
      <c r="O124" s="4" t="e">
        <f ca="1"/>
        <v>#VALUE!</v>
      </c>
      <c r="P124" s="23" t="e">
        <v>#VALUE!</v>
      </c>
      <c r="S124" s="22"/>
      <c r="U124" s="102"/>
      <c r="V124" s="102"/>
      <c r="W124" s="19"/>
    </row>
    <row r="125" spans="1:23" x14ac:dyDescent="0.25">
      <c r="A125" t="str">
        <f>main!$B$9 &amp; B125 &amp; "Z=R"</f>
        <v>EUR29Y6MZ=R</v>
      </c>
      <c r="B125" t="s">
        <v>168</v>
      </c>
      <c r="C125" s="4" t="str">
        <f>_xll.RtGet("IDN",A125,"GV1 DATE")</f>
        <v>Retrieving...</v>
      </c>
      <c r="D125" s="4" t="str">
        <f>_xll.RtGet("IDN",A125,"GV2 DATE")</f>
        <v>Retrieving...</v>
      </c>
      <c r="E125" s="4" t="str">
        <f t="shared" si="1"/>
        <v>Retrieving...</v>
      </c>
      <c r="F125" t="str">
        <f>_xll.RtGet("IDN",A125,"SECOND ACTIVY 1")</f>
        <v>Retrieving...</v>
      </c>
      <c r="K125" s="99"/>
      <c r="N125" s="99"/>
      <c r="O125" s="4" t="e">
        <f ca="1"/>
        <v>#VALUE!</v>
      </c>
      <c r="P125" s="23" t="e">
        <v>#VALUE!</v>
      </c>
      <c r="U125" s="102"/>
      <c r="V125" s="102"/>
      <c r="W125" s="19"/>
    </row>
    <row r="126" spans="1:23" x14ac:dyDescent="0.25">
      <c r="A126" t="str">
        <f>main!$B$9 &amp; B126 &amp; "Z=R"</f>
        <v>EUR29Y9MZ=R</v>
      </c>
      <c r="B126" t="s">
        <v>169</v>
      </c>
      <c r="C126" s="4" t="str">
        <f>_xll.RtGet("IDN",A126,"GV1 DATE")</f>
        <v>#N/A The record could not be found</v>
      </c>
      <c r="D126" s="4" t="str">
        <f>_xll.RtGet("IDN",A126,"GV2 DATE")</f>
        <v>#N/A The record could not be found</v>
      </c>
      <c r="E126" s="4" t="str">
        <f t="shared" si="1"/>
        <v>Retrieving...</v>
      </c>
      <c r="F126" t="str">
        <f>_xll.RtGet("IDN",A126,"SECOND ACTIVY 1")</f>
        <v>#N/A The record could not be found</v>
      </c>
      <c r="K126" s="99"/>
      <c r="N126" s="99"/>
      <c r="O126" s="4" t="e">
        <f ca="1"/>
        <v>#VALUE!</v>
      </c>
      <c r="P126" s="23" t="e">
        <v>#VALUE!</v>
      </c>
      <c r="U126" s="102"/>
      <c r="V126" s="102"/>
    </row>
    <row r="127" spans="1:23" x14ac:dyDescent="0.25">
      <c r="A127" t="str">
        <f>main!$B$9 &amp; B127 &amp; "Z=R"</f>
        <v>EUR30YZ=R</v>
      </c>
      <c r="B127" t="s">
        <v>170</v>
      </c>
      <c r="C127" s="4" t="str">
        <f>_xll.RtGet("IDN",A127,"GV1 DATE")</f>
        <v>Retrieving...</v>
      </c>
      <c r="D127" s="4" t="str">
        <f>_xll.RtGet("IDN",A127,"GV2 DATE")</f>
        <v>Retrieving...</v>
      </c>
      <c r="E127" s="4" t="str">
        <f t="shared" si="1"/>
        <v>Retrieving...</v>
      </c>
      <c r="F127" t="str">
        <f>_xll.RtGet("IDN",A127,"SECOND ACTIVY 1")</f>
        <v>Retrieving...</v>
      </c>
      <c r="K127" s="99"/>
      <c r="N127" s="99"/>
      <c r="O127" s="4" t="e">
        <f ca="1"/>
        <v>#VALUE!</v>
      </c>
      <c r="P127" s="23" t="e">
        <v>#VALUE!</v>
      </c>
      <c r="U127" s="102"/>
      <c r="V127" s="102"/>
    </row>
    <row r="128" spans="1:23" x14ac:dyDescent="0.25">
      <c r="A128" t="str">
        <f>main!$B$9 &amp; B128 &amp; "Z=R"</f>
        <v>EUR30Y3MZ=R</v>
      </c>
      <c r="B128" t="s">
        <v>171</v>
      </c>
      <c r="C128" s="4" t="str">
        <f>_xll.RtGet("IDN",A128,"GV1 DATE")</f>
        <v>Retrieving...</v>
      </c>
      <c r="D128" s="4" t="str">
        <f>_xll.RtGet("IDN",A128,"GV2 DATE")</f>
        <v>Retrieving...</v>
      </c>
      <c r="E128" s="4" t="str">
        <f>IF(ISNUMBER(D129),D129,E129)</f>
        <v>Retrieving...</v>
      </c>
      <c r="F128" t="str">
        <f>_xll.RtGet("IDN",A128,"SECOND ACTIVY 1")</f>
        <v>Retrieving...</v>
      </c>
      <c r="K128" s="99"/>
      <c r="N128" s="99"/>
      <c r="O128" s="4" t="e">
        <f ca="1"/>
        <v>#VALUE!</v>
      </c>
      <c r="P128" s="23" t="e">
        <v>#VALUE!</v>
      </c>
      <c r="U128" s="102"/>
      <c r="V128" s="102"/>
    </row>
    <row r="129" spans="1:22" x14ac:dyDescent="0.25">
      <c r="A129" t="str">
        <f>main!$B$9 &amp; B129 &amp; "Z=R"</f>
        <v>EUR30Y6MZ=R</v>
      </c>
      <c r="B129" t="s">
        <v>172</v>
      </c>
      <c r="C129" s="4" t="str">
        <f>_xll.RtGet("IDN",A129,"GV1 DATE")</f>
        <v>Retrieving...</v>
      </c>
      <c r="D129" s="4" t="str">
        <f>_xll.RtGet("IDN",A129,"GV2 DATE")</f>
        <v>Retrieving...</v>
      </c>
      <c r="E129" s="4" t="str">
        <f>D129</f>
        <v>Retrieving...</v>
      </c>
      <c r="F129" t="str">
        <f>_xll.RtGet("IDN",A129,"SECOND ACTIVY 1")</f>
        <v>Retrieving...</v>
      </c>
      <c r="K129" s="99"/>
      <c r="N129" s="99"/>
      <c r="O129" s="4" t="e">
        <f ca="1"/>
        <v>#VALUE!</v>
      </c>
      <c r="P129" s="23" t="e">
        <v>#VALUE!</v>
      </c>
      <c r="U129" s="102"/>
      <c r="V129" s="102"/>
    </row>
    <row r="130" spans="1:22" x14ac:dyDescent="0.25">
      <c r="K130" s="99"/>
      <c r="N130" s="99"/>
      <c r="O130" s="4" t="e">
        <f ca="1"/>
        <v>#VALUE!</v>
      </c>
      <c r="P130" s="23" t="e">
        <v>#VALUE!</v>
      </c>
      <c r="U130" s="102"/>
      <c r="V130" s="102"/>
    </row>
    <row r="131" spans="1:22" x14ac:dyDescent="0.25">
      <c r="K131" s="99"/>
      <c r="N131" s="99"/>
      <c r="O131" s="4" t="e">
        <f ca="1"/>
        <v>#VALUE!</v>
      </c>
      <c r="U131" s="102"/>
      <c r="V131" s="102"/>
    </row>
    <row r="132" spans="1:22" x14ac:dyDescent="0.25">
      <c r="K132" s="99"/>
      <c r="N132" s="99"/>
      <c r="O132" s="4" t="e">
        <f ca="1"/>
        <v>#VALUE!</v>
      </c>
      <c r="U132" s="102"/>
      <c r="V132" s="102"/>
    </row>
    <row r="133" spans="1:22" x14ac:dyDescent="0.25">
      <c r="K133" s="99"/>
      <c r="N133" s="99"/>
      <c r="O133" s="4" t="e">
        <f ca="1"/>
        <v>#VALUE!</v>
      </c>
      <c r="U133" s="102"/>
      <c r="V133" s="102"/>
    </row>
    <row r="134" spans="1:22" x14ac:dyDescent="0.25">
      <c r="K134" s="99"/>
      <c r="N134" s="99"/>
      <c r="O134" s="4" t="e">
        <f ca="1"/>
        <v>#VALUE!</v>
      </c>
      <c r="U134" s="102"/>
      <c r="V134" s="102"/>
    </row>
    <row r="135" spans="1:22" x14ac:dyDescent="0.25">
      <c r="K135" s="99"/>
      <c r="N135" s="99"/>
      <c r="O135" s="4" t="e">
        <f ca="1"/>
        <v>#VALUE!</v>
      </c>
      <c r="U135" s="102"/>
      <c r="V135" s="102"/>
    </row>
    <row r="136" spans="1:22" x14ac:dyDescent="0.25">
      <c r="K136" s="99"/>
      <c r="N136" s="99"/>
      <c r="U136" s="102"/>
      <c r="V136" s="102"/>
    </row>
    <row r="137" spans="1:22" x14ac:dyDescent="0.25">
      <c r="K137" s="99"/>
      <c r="N137" s="99"/>
      <c r="U137" s="102"/>
      <c r="V137" s="102"/>
    </row>
    <row r="138" spans="1:22" x14ac:dyDescent="0.25">
      <c r="K138" s="99"/>
      <c r="N138" s="99"/>
      <c r="U138" s="102"/>
      <c r="V138" s="102"/>
    </row>
    <row r="139" spans="1:22" x14ac:dyDescent="0.25">
      <c r="K139" s="99"/>
      <c r="N139" s="99"/>
      <c r="U139" s="102"/>
      <c r="V139" s="102"/>
    </row>
    <row r="140" spans="1:22" x14ac:dyDescent="0.25">
      <c r="K140" s="99"/>
      <c r="N140" s="99"/>
      <c r="U140" s="102"/>
      <c r="V140" s="102"/>
    </row>
    <row r="141" spans="1:22" x14ac:dyDescent="0.25">
      <c r="K141" s="99"/>
      <c r="N141" s="100"/>
      <c r="U141" s="102"/>
      <c r="V141" s="102"/>
    </row>
    <row r="142" spans="1:22" x14ac:dyDescent="0.25">
      <c r="K142" s="99"/>
      <c r="N142" s="99"/>
      <c r="P142" s="23"/>
      <c r="U142" s="102"/>
      <c r="V142" s="102"/>
    </row>
    <row r="143" spans="1:22" x14ac:dyDescent="0.25">
      <c r="K143" s="99"/>
      <c r="N143" s="99"/>
      <c r="P143" s="23"/>
      <c r="U143" s="102"/>
      <c r="V143" s="102"/>
    </row>
    <row r="144" spans="1:22" x14ac:dyDescent="0.25">
      <c r="K144" s="99"/>
      <c r="N144" s="99"/>
      <c r="P144" s="23"/>
    </row>
    <row r="145" spans="11:22" x14ac:dyDescent="0.25">
      <c r="K145" s="99"/>
      <c r="N145" s="99"/>
      <c r="P145" s="23"/>
    </row>
    <row r="146" spans="11:22" x14ac:dyDescent="0.25">
      <c r="K146" s="99"/>
      <c r="N146" s="99"/>
      <c r="P146" s="23"/>
    </row>
    <row r="147" spans="11:22" x14ac:dyDescent="0.25">
      <c r="K147" s="99"/>
      <c r="N147" s="99"/>
      <c r="P147" s="23"/>
    </row>
    <row r="148" spans="11:22" x14ac:dyDescent="0.25">
      <c r="K148" s="99"/>
      <c r="N148" s="99"/>
      <c r="P148" s="23"/>
    </row>
    <row r="149" spans="11:22" x14ac:dyDescent="0.25">
      <c r="K149" s="99"/>
      <c r="N149" s="99"/>
      <c r="P149" s="23"/>
      <c r="U149" s="7"/>
    </row>
    <row r="150" spans="11:22" x14ac:dyDescent="0.25">
      <c r="K150" s="99"/>
      <c r="N150" s="99"/>
      <c r="P150" s="23"/>
    </row>
    <row r="151" spans="11:22" x14ac:dyDescent="0.25">
      <c r="K151" s="99"/>
      <c r="N151" s="96"/>
      <c r="P151" s="23"/>
      <c r="V151" s="22"/>
    </row>
    <row r="152" spans="11:22" x14ac:dyDescent="0.25">
      <c r="K152" s="99"/>
      <c r="N152" s="96"/>
      <c r="P152" s="23"/>
      <c r="V152" s="22"/>
    </row>
    <row r="153" spans="11:22" x14ac:dyDescent="0.25">
      <c r="K153" s="99"/>
      <c r="N153" s="96"/>
      <c r="P153" s="23"/>
      <c r="V153" s="22"/>
    </row>
    <row r="154" spans="11:22" x14ac:dyDescent="0.25">
      <c r="K154" s="99"/>
      <c r="N154" s="96"/>
      <c r="P154" s="23"/>
      <c r="V154" s="22"/>
    </row>
    <row r="155" spans="11:22" x14ac:dyDescent="0.25">
      <c r="K155" s="99"/>
      <c r="N155" s="96"/>
      <c r="P155" s="23"/>
      <c r="V155" s="22"/>
    </row>
    <row r="156" spans="11:22" x14ac:dyDescent="0.25">
      <c r="K156" s="99"/>
      <c r="N156" s="96"/>
      <c r="P156" s="23"/>
      <c r="V156" s="22"/>
    </row>
    <row r="157" spans="11:22" x14ac:dyDescent="0.25">
      <c r="K157" s="99"/>
      <c r="N157" s="96"/>
      <c r="P157" s="23"/>
      <c r="V157" s="22"/>
    </row>
    <row r="158" spans="11:22" x14ac:dyDescent="0.25">
      <c r="K158" s="99"/>
      <c r="N158" s="96"/>
      <c r="P158" s="23"/>
      <c r="V158" s="22"/>
    </row>
    <row r="159" spans="11:22" x14ac:dyDescent="0.25">
      <c r="K159" s="99"/>
      <c r="N159" s="96"/>
      <c r="P159" s="23"/>
      <c r="V159" s="22"/>
    </row>
    <row r="160" spans="11:22" x14ac:dyDescent="0.25">
      <c r="K160" s="99"/>
      <c r="N160" s="96"/>
      <c r="P160" s="23"/>
      <c r="V160" s="22"/>
    </row>
    <row r="161" spans="11:22" x14ac:dyDescent="0.25">
      <c r="K161" s="99"/>
      <c r="N161" s="96"/>
      <c r="P161" s="23"/>
      <c r="V161" s="22"/>
    </row>
    <row r="162" spans="11:22" x14ac:dyDescent="0.25">
      <c r="K162" s="99"/>
      <c r="N162" s="96"/>
      <c r="P162" s="23"/>
      <c r="V162" s="22"/>
    </row>
    <row r="163" spans="11:22" x14ac:dyDescent="0.25">
      <c r="K163" s="99"/>
      <c r="N163" s="96"/>
      <c r="P163" s="23"/>
      <c r="V163" s="22"/>
    </row>
    <row r="164" spans="11:22" x14ac:dyDescent="0.25">
      <c r="K164" s="99"/>
      <c r="N164" s="96"/>
      <c r="P164" s="23"/>
      <c r="V164" s="22"/>
    </row>
    <row r="165" spans="11:22" x14ac:dyDescent="0.25">
      <c r="K165" s="99"/>
      <c r="N165" s="96"/>
      <c r="P165" s="23"/>
      <c r="V165" s="22"/>
    </row>
    <row r="166" spans="11:22" x14ac:dyDescent="0.25">
      <c r="K166" s="22"/>
      <c r="N166" s="96"/>
      <c r="P166" s="23"/>
      <c r="V166" s="22"/>
    </row>
    <row r="167" spans="11:22" x14ac:dyDescent="0.25">
      <c r="K167" s="22"/>
      <c r="N167" s="96"/>
      <c r="P167" s="23"/>
      <c r="V167" s="22"/>
    </row>
    <row r="168" spans="11:22" x14ac:dyDescent="0.25">
      <c r="N168" s="96"/>
      <c r="P168" s="23"/>
      <c r="V168" s="22"/>
    </row>
    <row r="169" spans="11:22" x14ac:dyDescent="0.25">
      <c r="N169" s="96"/>
      <c r="P169" s="23"/>
      <c r="V169" s="22"/>
    </row>
    <row r="170" spans="11:22" x14ac:dyDescent="0.25">
      <c r="N170" s="96"/>
      <c r="P170" s="23"/>
      <c r="V170" s="22"/>
    </row>
    <row r="171" spans="11:22" x14ac:dyDescent="0.25">
      <c r="N171" s="96"/>
      <c r="P171" s="23"/>
      <c r="V171" s="22"/>
    </row>
    <row r="172" spans="11:22" x14ac:dyDescent="0.25">
      <c r="N172" s="96"/>
      <c r="P172" s="23"/>
      <c r="V172" s="22"/>
    </row>
    <row r="173" spans="11:22" x14ac:dyDescent="0.25">
      <c r="N173" s="96"/>
      <c r="P173" s="23"/>
      <c r="V173" s="22"/>
    </row>
    <row r="174" spans="11:22" x14ac:dyDescent="0.25">
      <c r="N174" s="96"/>
      <c r="P174" s="23"/>
    </row>
    <row r="175" spans="11:22" x14ac:dyDescent="0.25">
      <c r="N175" s="96"/>
      <c r="P175" s="23"/>
    </row>
    <row r="176" spans="11:22" x14ac:dyDescent="0.25">
      <c r="N176" s="96"/>
      <c r="P176" s="23"/>
    </row>
    <row r="177" spans="14:16" x14ac:dyDescent="0.25">
      <c r="N177" s="96"/>
      <c r="P177" s="23"/>
    </row>
    <row r="178" spans="14:16" x14ac:dyDescent="0.25">
      <c r="N178" s="96"/>
      <c r="P178" s="23"/>
    </row>
    <row r="179" spans="14:16" x14ac:dyDescent="0.25">
      <c r="N179" s="96"/>
      <c r="P179" s="23"/>
    </row>
    <row r="180" spans="14:16" x14ac:dyDescent="0.25">
      <c r="N180" s="96"/>
      <c r="P180" s="23"/>
    </row>
    <row r="181" spans="14:16" x14ac:dyDescent="0.25">
      <c r="N181" s="96"/>
      <c r="P181" s="23"/>
    </row>
    <row r="182" spans="14:16" x14ac:dyDescent="0.25">
      <c r="N182" s="96"/>
      <c r="P182" s="23"/>
    </row>
    <row r="183" spans="14:16" x14ac:dyDescent="0.25">
      <c r="N183" s="96"/>
      <c r="P183" s="23"/>
    </row>
    <row r="184" spans="14:16" x14ac:dyDescent="0.25">
      <c r="N184" s="96"/>
      <c r="P184" s="23"/>
    </row>
    <row r="185" spans="14:16" x14ac:dyDescent="0.25">
      <c r="N185" s="96"/>
      <c r="P185" s="23"/>
    </row>
    <row r="186" spans="14:16" x14ac:dyDescent="0.25">
      <c r="N186" s="96"/>
      <c r="P186" s="23"/>
    </row>
    <row r="187" spans="14:16" x14ac:dyDescent="0.25">
      <c r="N187" s="96"/>
      <c r="P187" s="23"/>
    </row>
    <row r="188" spans="14:16" x14ac:dyDescent="0.25">
      <c r="N188" s="96"/>
      <c r="P188" s="23"/>
    </row>
    <row r="189" spans="14:16" x14ac:dyDescent="0.25">
      <c r="N189" s="96"/>
      <c r="P189" s="23"/>
    </row>
    <row r="190" spans="14:16" x14ac:dyDescent="0.25">
      <c r="N190" s="96"/>
      <c r="P190" s="23"/>
    </row>
    <row r="191" spans="14:16" x14ac:dyDescent="0.25">
      <c r="N191" s="96"/>
      <c r="P191" s="23"/>
    </row>
    <row r="192" spans="14:16" x14ac:dyDescent="0.25">
      <c r="N192" s="96"/>
      <c r="P192" s="23"/>
    </row>
    <row r="193" spans="14:16" x14ac:dyDescent="0.25">
      <c r="N193" s="96"/>
      <c r="P193" s="23"/>
    </row>
    <row r="194" spans="14:16" x14ac:dyDescent="0.25">
      <c r="N194" s="96"/>
      <c r="P194" s="23"/>
    </row>
    <row r="195" spans="14:16" x14ac:dyDescent="0.25">
      <c r="N195" s="96"/>
      <c r="P195" s="23"/>
    </row>
    <row r="196" spans="14:16" x14ac:dyDescent="0.25">
      <c r="N196" s="96"/>
      <c r="P196" s="23"/>
    </row>
    <row r="197" spans="14:16" x14ac:dyDescent="0.25">
      <c r="N197" s="96"/>
      <c r="P197" s="23"/>
    </row>
    <row r="198" spans="14:16" x14ac:dyDescent="0.25">
      <c r="N198" s="96"/>
      <c r="P198" s="23"/>
    </row>
    <row r="199" spans="14:16" x14ac:dyDescent="0.25">
      <c r="N199" s="96"/>
      <c r="P199" s="23"/>
    </row>
    <row r="200" spans="14:16" x14ac:dyDescent="0.25">
      <c r="N200" s="96"/>
      <c r="P200" s="23"/>
    </row>
    <row r="201" spans="14:16" x14ac:dyDescent="0.25">
      <c r="N201" s="96"/>
      <c r="P201" s="23"/>
    </row>
    <row r="202" spans="14:16" x14ac:dyDescent="0.25">
      <c r="N202" s="96"/>
      <c r="P202" s="23"/>
    </row>
    <row r="203" spans="14:16" x14ac:dyDescent="0.25">
      <c r="N203" s="96"/>
      <c r="P203" s="23"/>
    </row>
    <row r="204" spans="14:16" x14ac:dyDescent="0.25">
      <c r="N204" s="96"/>
      <c r="P204" s="23"/>
    </row>
    <row r="205" spans="14:16" x14ac:dyDescent="0.25">
      <c r="N205" s="96"/>
      <c r="P205" s="23"/>
    </row>
    <row r="206" spans="14:16" x14ac:dyDescent="0.25">
      <c r="N206" s="96"/>
      <c r="P206" s="23"/>
    </row>
    <row r="207" spans="14:16" x14ac:dyDescent="0.25">
      <c r="N207" s="96"/>
      <c r="P207" s="23"/>
    </row>
    <row r="208" spans="14:16" x14ac:dyDescent="0.25">
      <c r="N208" s="96"/>
      <c r="P208" s="23"/>
    </row>
    <row r="209" spans="14:16" x14ac:dyDescent="0.25">
      <c r="N209" s="96"/>
      <c r="P209" s="23"/>
    </row>
    <row r="210" spans="14:16" x14ac:dyDescent="0.25">
      <c r="N210" s="96"/>
      <c r="P210" s="23"/>
    </row>
    <row r="211" spans="14:16" x14ac:dyDescent="0.25">
      <c r="N211" s="96"/>
      <c r="P211" s="23"/>
    </row>
    <row r="212" spans="14:16" x14ac:dyDescent="0.25">
      <c r="N212" s="96"/>
      <c r="P212" s="23"/>
    </row>
    <row r="213" spans="14:16" x14ac:dyDescent="0.25">
      <c r="N213" s="96"/>
      <c r="P213" s="23"/>
    </row>
    <row r="214" spans="14:16" x14ac:dyDescent="0.25">
      <c r="N214" s="96"/>
      <c r="P214" s="23"/>
    </row>
    <row r="215" spans="14:16" x14ac:dyDescent="0.25">
      <c r="N215" s="96"/>
      <c r="P215" s="23"/>
    </row>
    <row r="216" spans="14:16" x14ac:dyDescent="0.25">
      <c r="N216" s="96"/>
      <c r="P216" s="23"/>
    </row>
    <row r="217" spans="14:16" x14ac:dyDescent="0.25">
      <c r="N217" s="96"/>
      <c r="P217" s="23"/>
    </row>
    <row r="218" spans="14:16" x14ac:dyDescent="0.25">
      <c r="N218" s="96"/>
      <c r="P218" s="23"/>
    </row>
    <row r="219" spans="14:16" x14ac:dyDescent="0.25">
      <c r="N219" s="96"/>
      <c r="P219" s="23"/>
    </row>
    <row r="220" spans="14:16" x14ac:dyDescent="0.25">
      <c r="N220" s="96"/>
      <c r="P220" s="23"/>
    </row>
    <row r="221" spans="14:16" x14ac:dyDescent="0.25">
      <c r="N221" s="96"/>
      <c r="P221" s="23"/>
    </row>
    <row r="222" spans="14:16" x14ac:dyDescent="0.25">
      <c r="N222" s="96"/>
      <c r="P222" s="23"/>
    </row>
    <row r="223" spans="14:16" x14ac:dyDescent="0.25">
      <c r="N223" s="96"/>
      <c r="P223" s="23"/>
    </row>
    <row r="224" spans="14:16" x14ac:dyDescent="0.25">
      <c r="N224" s="96"/>
      <c r="P224" s="23"/>
    </row>
    <row r="225" spans="14:16" x14ac:dyDescent="0.25">
      <c r="N225" s="96"/>
      <c r="P225" s="23"/>
    </row>
    <row r="226" spans="14:16" x14ac:dyDescent="0.25">
      <c r="N226" s="96"/>
      <c r="P226" s="23"/>
    </row>
    <row r="227" spans="14:16" x14ac:dyDescent="0.25">
      <c r="N227" s="96"/>
      <c r="P227" s="23"/>
    </row>
    <row r="228" spans="14:16" x14ac:dyDescent="0.25">
      <c r="N228" s="96"/>
      <c r="P228" s="23"/>
    </row>
    <row r="229" spans="14:16" x14ac:dyDescent="0.25">
      <c r="N229" s="96"/>
      <c r="P229" s="23"/>
    </row>
    <row r="230" spans="14:16" x14ac:dyDescent="0.25">
      <c r="N230" s="96"/>
      <c r="P230" s="23"/>
    </row>
    <row r="231" spans="14:16" x14ac:dyDescent="0.25">
      <c r="N231" s="96"/>
      <c r="P231" s="23"/>
    </row>
    <row r="232" spans="14:16" x14ac:dyDescent="0.25">
      <c r="N232" s="96"/>
      <c r="P232" s="23"/>
    </row>
    <row r="233" spans="14:16" x14ac:dyDescent="0.25">
      <c r="N233" s="96"/>
      <c r="P233" s="23"/>
    </row>
    <row r="234" spans="14:16" x14ac:dyDescent="0.25">
      <c r="N234" s="96"/>
      <c r="P234" s="23"/>
    </row>
    <row r="235" spans="14:16" x14ac:dyDescent="0.25">
      <c r="N235" s="96"/>
      <c r="P235" s="23"/>
    </row>
    <row r="236" spans="14:16" x14ac:dyDescent="0.25">
      <c r="N236" s="96"/>
      <c r="P236" s="23"/>
    </row>
    <row r="237" spans="14:16" x14ac:dyDescent="0.25">
      <c r="N237" s="96"/>
    </row>
    <row r="238" spans="14:16" x14ac:dyDescent="0.25">
      <c r="N238" s="96"/>
    </row>
    <row r="239" spans="14:16" x14ac:dyDescent="0.25">
      <c r="N239" s="96"/>
    </row>
    <row r="240" spans="14:16" x14ac:dyDescent="0.25">
      <c r="N240" s="96"/>
    </row>
    <row r="241" spans="14:14" x14ac:dyDescent="0.25">
      <c r="N241" s="96"/>
    </row>
    <row r="242" spans="14:14" x14ac:dyDescent="0.25">
      <c r="N242" s="96"/>
    </row>
    <row r="243" spans="14:14" x14ac:dyDescent="0.25">
      <c r="N243" s="96"/>
    </row>
    <row r="244" spans="14:14" x14ac:dyDescent="0.25">
      <c r="N244" s="96"/>
    </row>
    <row r="245" spans="14:14" x14ac:dyDescent="0.25">
      <c r="N245" s="96"/>
    </row>
    <row r="246" spans="14:14" x14ac:dyDescent="0.25">
      <c r="N246" s="96"/>
    </row>
    <row r="247" spans="14:14" x14ac:dyDescent="0.25">
      <c r="N247" s="96"/>
    </row>
    <row r="248" spans="14:14" x14ac:dyDescent="0.25">
      <c r="N248" s="96"/>
    </row>
    <row r="249" spans="14:14" x14ac:dyDescent="0.25">
      <c r="N249" s="96"/>
    </row>
    <row r="250" spans="14:14" x14ac:dyDescent="0.25">
      <c r="N250" s="96"/>
    </row>
    <row r="251" spans="14:14" x14ac:dyDescent="0.25">
      <c r="N251" s="96"/>
    </row>
    <row r="252" spans="14:14" x14ac:dyDescent="0.25">
      <c r="N252" s="96"/>
    </row>
    <row r="253" spans="14:14" x14ac:dyDescent="0.25">
      <c r="N253" s="96"/>
    </row>
    <row r="254" spans="14:14" x14ac:dyDescent="0.25">
      <c r="N254" s="96"/>
    </row>
    <row r="255" spans="14:14" x14ac:dyDescent="0.25">
      <c r="N255" s="96"/>
    </row>
    <row r="256" spans="14:14" x14ac:dyDescent="0.25">
      <c r="N256" s="96"/>
    </row>
    <row r="257" spans="14:14" x14ac:dyDescent="0.25">
      <c r="N257" s="96"/>
    </row>
    <row r="258" spans="14:14" x14ac:dyDescent="0.25">
      <c r="N258" s="96"/>
    </row>
    <row r="259" spans="14:14" x14ac:dyDescent="0.25">
      <c r="N259" s="96"/>
    </row>
    <row r="260" spans="14:14" x14ac:dyDescent="0.25">
      <c r="N260" s="96"/>
    </row>
    <row r="261" spans="14:14" x14ac:dyDescent="0.25">
      <c r="N261" s="96"/>
    </row>
    <row r="262" spans="14:14" x14ac:dyDescent="0.25">
      <c r="N262" s="96"/>
    </row>
    <row r="263" spans="14:14" x14ac:dyDescent="0.25">
      <c r="N263" s="96"/>
    </row>
    <row r="264" spans="14:14" x14ac:dyDescent="0.25">
      <c r="N264" s="96"/>
    </row>
    <row r="265" spans="14:14" x14ac:dyDescent="0.25">
      <c r="N265" s="96"/>
    </row>
    <row r="266" spans="14:14" x14ac:dyDescent="0.25">
      <c r="N266" s="96"/>
    </row>
    <row r="267" spans="14:14" x14ac:dyDescent="0.25">
      <c r="N267" s="96"/>
    </row>
    <row r="268" spans="14:14" x14ac:dyDescent="0.25">
      <c r="N268" s="96"/>
    </row>
    <row r="269" spans="14:14" x14ac:dyDescent="0.25">
      <c r="N269" s="96"/>
    </row>
    <row r="270" spans="14:14" x14ac:dyDescent="0.25">
      <c r="N270" s="96"/>
    </row>
    <row r="271" spans="14:14" x14ac:dyDescent="0.25">
      <c r="N271" s="96"/>
    </row>
    <row r="272" spans="14:14" x14ac:dyDescent="0.25">
      <c r="N272" s="96"/>
    </row>
    <row r="273" spans="14:14" x14ac:dyDescent="0.25">
      <c r="N273" s="96"/>
    </row>
    <row r="274" spans="14:14" x14ac:dyDescent="0.25">
      <c r="N274" s="96"/>
    </row>
    <row r="275" spans="14:14" x14ac:dyDescent="0.25">
      <c r="N275" s="96"/>
    </row>
    <row r="276" spans="14:14" x14ac:dyDescent="0.25">
      <c r="N276" s="96"/>
    </row>
    <row r="277" spans="14:14" x14ac:dyDescent="0.25">
      <c r="N277" s="96"/>
    </row>
    <row r="278" spans="14:14" x14ac:dyDescent="0.25">
      <c r="N278" s="96"/>
    </row>
    <row r="279" spans="14:14" x14ac:dyDescent="0.25">
      <c r="N279" s="96"/>
    </row>
    <row r="280" spans="14:14" x14ac:dyDescent="0.25">
      <c r="N280" s="96"/>
    </row>
    <row r="281" spans="14:14" x14ac:dyDescent="0.25">
      <c r="N281" s="96"/>
    </row>
    <row r="282" spans="14:14" x14ac:dyDescent="0.25">
      <c r="N282" s="96"/>
    </row>
    <row r="283" spans="14:14" x14ac:dyDescent="0.25">
      <c r="N283" s="96"/>
    </row>
    <row r="284" spans="14:14" x14ac:dyDescent="0.25">
      <c r="N284" s="96"/>
    </row>
    <row r="285" spans="14:14" x14ac:dyDescent="0.25">
      <c r="N285" s="96"/>
    </row>
    <row r="286" spans="14:14" x14ac:dyDescent="0.25">
      <c r="N286" s="96"/>
    </row>
    <row r="287" spans="14:14" x14ac:dyDescent="0.25">
      <c r="N287" s="96"/>
    </row>
    <row r="288" spans="14:14" x14ac:dyDescent="0.25">
      <c r="N288" s="96"/>
    </row>
    <row r="289" spans="14:14" x14ac:dyDescent="0.25">
      <c r="N289" s="96"/>
    </row>
    <row r="290" spans="14:14" x14ac:dyDescent="0.25">
      <c r="N290" s="96"/>
    </row>
    <row r="291" spans="14:14" x14ac:dyDescent="0.25">
      <c r="N291" s="96"/>
    </row>
    <row r="292" spans="14:14" x14ac:dyDescent="0.25">
      <c r="N292" s="96"/>
    </row>
    <row r="293" spans="14:14" x14ac:dyDescent="0.25">
      <c r="N293" s="96"/>
    </row>
    <row r="294" spans="14:14" x14ac:dyDescent="0.25">
      <c r="N294" s="96"/>
    </row>
    <row r="295" spans="14:14" x14ac:dyDescent="0.25">
      <c r="N295" s="96"/>
    </row>
    <row r="296" spans="14:14" x14ac:dyDescent="0.25">
      <c r="N296" s="96"/>
    </row>
    <row r="297" spans="14:14" x14ac:dyDescent="0.25">
      <c r="N297" s="96"/>
    </row>
    <row r="298" spans="14:14" x14ac:dyDescent="0.25">
      <c r="N298" s="96"/>
    </row>
    <row r="299" spans="14:14" x14ac:dyDescent="0.25">
      <c r="N299" s="96"/>
    </row>
    <row r="300" spans="14:14" x14ac:dyDescent="0.25">
      <c r="N300" s="96"/>
    </row>
    <row r="301" spans="14:14" x14ac:dyDescent="0.25">
      <c r="N301" s="96"/>
    </row>
    <row r="302" spans="14:14" x14ac:dyDescent="0.25">
      <c r="N302" s="96"/>
    </row>
    <row r="303" spans="14:14" x14ac:dyDescent="0.25">
      <c r="N303" s="96"/>
    </row>
    <row r="304" spans="14:14" x14ac:dyDescent="0.25">
      <c r="N304" s="96"/>
    </row>
    <row r="305" spans="14:14" x14ac:dyDescent="0.25">
      <c r="N305" s="96"/>
    </row>
    <row r="306" spans="14:14" x14ac:dyDescent="0.25">
      <c r="N306" s="96"/>
    </row>
    <row r="307" spans="14:14" x14ac:dyDescent="0.25">
      <c r="N307" s="96"/>
    </row>
    <row r="308" spans="14:14" x14ac:dyDescent="0.25">
      <c r="N308" s="96"/>
    </row>
    <row r="309" spans="14:14" x14ac:dyDescent="0.25">
      <c r="N309" s="96"/>
    </row>
    <row r="310" spans="14:14" x14ac:dyDescent="0.25">
      <c r="N310" s="96"/>
    </row>
    <row r="311" spans="14:14" x14ac:dyDescent="0.25">
      <c r="N311" s="96"/>
    </row>
    <row r="312" spans="14:14" x14ac:dyDescent="0.25">
      <c r="N312" s="96"/>
    </row>
    <row r="313" spans="14:14" x14ac:dyDescent="0.25">
      <c r="N313" s="96"/>
    </row>
    <row r="314" spans="14:14" x14ac:dyDescent="0.25">
      <c r="N314" s="96"/>
    </row>
    <row r="315" spans="14:14" x14ac:dyDescent="0.25">
      <c r="N315" s="96"/>
    </row>
    <row r="316" spans="14:14" x14ac:dyDescent="0.25">
      <c r="N316" s="96"/>
    </row>
    <row r="317" spans="14:14" x14ac:dyDescent="0.25">
      <c r="N317" s="96"/>
    </row>
    <row r="318" spans="14:14" x14ac:dyDescent="0.25">
      <c r="N318" s="96"/>
    </row>
    <row r="319" spans="14:14" x14ac:dyDescent="0.25">
      <c r="N319" s="96"/>
    </row>
    <row r="320" spans="14:14" x14ac:dyDescent="0.25">
      <c r="N320" s="96"/>
    </row>
    <row r="321" spans="14:14" x14ac:dyDescent="0.25">
      <c r="N321" s="96"/>
    </row>
    <row r="322" spans="14:14" x14ac:dyDescent="0.25">
      <c r="N322" s="96"/>
    </row>
    <row r="323" spans="14:14" x14ac:dyDescent="0.25">
      <c r="N323" s="96"/>
    </row>
    <row r="324" spans="14:14" x14ac:dyDescent="0.25">
      <c r="N324" s="96"/>
    </row>
    <row r="325" spans="14:14" x14ac:dyDescent="0.25">
      <c r="N325" s="96"/>
    </row>
    <row r="326" spans="14:14" x14ac:dyDescent="0.25">
      <c r="N326" s="96"/>
    </row>
    <row r="327" spans="14:14" x14ac:dyDescent="0.25">
      <c r="N327" s="96"/>
    </row>
    <row r="328" spans="14:14" x14ac:dyDescent="0.25">
      <c r="N328" s="96"/>
    </row>
    <row r="329" spans="14:14" x14ac:dyDescent="0.25">
      <c r="N329" s="96"/>
    </row>
    <row r="330" spans="14:14" x14ac:dyDescent="0.25">
      <c r="N330" s="96"/>
    </row>
    <row r="331" spans="14:14" x14ac:dyDescent="0.25">
      <c r="N331" s="96"/>
    </row>
    <row r="332" spans="14:14" x14ac:dyDescent="0.25">
      <c r="N332" s="96"/>
    </row>
    <row r="333" spans="14:14" x14ac:dyDescent="0.25">
      <c r="N333" s="96"/>
    </row>
    <row r="334" spans="14:14" x14ac:dyDescent="0.25">
      <c r="N334" s="96"/>
    </row>
    <row r="335" spans="14:14" x14ac:dyDescent="0.25">
      <c r="N335" s="96"/>
    </row>
    <row r="336" spans="14:14" x14ac:dyDescent="0.25">
      <c r="N336" s="96"/>
    </row>
    <row r="337" spans="14:14" x14ac:dyDescent="0.25">
      <c r="N337" s="96"/>
    </row>
    <row r="338" spans="14:14" x14ac:dyDescent="0.25">
      <c r="N338" s="96"/>
    </row>
    <row r="339" spans="14:14" x14ac:dyDescent="0.25">
      <c r="N339" s="96"/>
    </row>
    <row r="340" spans="14:14" x14ac:dyDescent="0.25">
      <c r="N340" s="96"/>
    </row>
    <row r="341" spans="14:14" x14ac:dyDescent="0.25">
      <c r="N341" s="96"/>
    </row>
    <row r="342" spans="14:14" x14ac:dyDescent="0.25">
      <c r="N342" s="96"/>
    </row>
    <row r="343" spans="14:14" x14ac:dyDescent="0.25">
      <c r="N343" s="96"/>
    </row>
    <row r="344" spans="14:14" x14ac:dyDescent="0.25">
      <c r="N344" s="96"/>
    </row>
    <row r="345" spans="14:14" x14ac:dyDescent="0.25">
      <c r="N345" s="96"/>
    </row>
    <row r="346" spans="14:14" x14ac:dyDescent="0.25">
      <c r="N346" s="96"/>
    </row>
    <row r="347" spans="14:14" x14ac:dyDescent="0.25">
      <c r="N347" s="96"/>
    </row>
    <row r="348" spans="14:14" x14ac:dyDescent="0.25">
      <c r="N348" s="96"/>
    </row>
    <row r="349" spans="14:14" x14ac:dyDescent="0.25">
      <c r="N349" s="96"/>
    </row>
    <row r="350" spans="14:14" x14ac:dyDescent="0.25">
      <c r="N350" s="96"/>
    </row>
    <row r="351" spans="14:14" x14ac:dyDescent="0.25">
      <c r="N351" s="96"/>
    </row>
    <row r="352" spans="14:14" x14ac:dyDescent="0.25">
      <c r="N352" s="96"/>
    </row>
    <row r="353" spans="14:14" x14ac:dyDescent="0.25">
      <c r="N353" s="96"/>
    </row>
    <row r="354" spans="14:14" x14ac:dyDescent="0.25">
      <c r="N354" s="96"/>
    </row>
    <row r="355" spans="14:14" x14ac:dyDescent="0.25">
      <c r="N355" s="96"/>
    </row>
    <row r="356" spans="14:14" x14ac:dyDescent="0.25">
      <c r="N356" s="96"/>
    </row>
    <row r="357" spans="14:14" x14ac:dyDescent="0.25">
      <c r="N357" s="96"/>
    </row>
    <row r="358" spans="14:14" x14ac:dyDescent="0.25">
      <c r="N358" s="96"/>
    </row>
    <row r="359" spans="14:14" x14ac:dyDescent="0.25">
      <c r="N359" s="96"/>
    </row>
    <row r="360" spans="14:14" x14ac:dyDescent="0.25">
      <c r="N360" s="96"/>
    </row>
    <row r="361" spans="14:14" x14ac:dyDescent="0.25">
      <c r="N361" s="96"/>
    </row>
    <row r="362" spans="14:14" x14ac:dyDescent="0.25">
      <c r="N362" s="96"/>
    </row>
    <row r="363" spans="14:14" x14ac:dyDescent="0.25">
      <c r="N363" s="96"/>
    </row>
    <row r="364" spans="14:14" x14ac:dyDescent="0.25">
      <c r="N364" s="96"/>
    </row>
    <row r="365" spans="14:14" x14ac:dyDescent="0.25">
      <c r="N365" s="96"/>
    </row>
    <row r="366" spans="14:14" x14ac:dyDescent="0.25">
      <c r="N366" s="22"/>
    </row>
    <row r="367" spans="14:14" x14ac:dyDescent="0.25">
      <c r="N367" s="22" t="s">
        <v>513</v>
      </c>
    </row>
    <row r="368" spans="14:14" x14ac:dyDescent="0.25">
      <c r="N368" s="22"/>
    </row>
    <row r="369" spans="14:14" x14ac:dyDescent="0.25">
      <c r="N369" s="22"/>
    </row>
    <row r="370" spans="14:14" x14ac:dyDescent="0.25">
      <c r="N370" s="22"/>
    </row>
    <row r="371" spans="14:14" x14ac:dyDescent="0.25">
      <c r="N371" s="22"/>
    </row>
    <row r="372" spans="14:14" x14ac:dyDescent="0.25">
      <c r="N372" s="22"/>
    </row>
    <row r="373" spans="14:14" x14ac:dyDescent="0.25">
      <c r="N373" s="22"/>
    </row>
    <row r="374" spans="14:14" x14ac:dyDescent="0.25">
      <c r="N374" s="22"/>
    </row>
    <row r="375" spans="14:14" x14ac:dyDescent="0.25">
      <c r="N375" s="22"/>
    </row>
    <row r="376" spans="14:14" x14ac:dyDescent="0.25">
      <c r="N376" s="22"/>
    </row>
    <row r="377" spans="14:14" x14ac:dyDescent="0.25">
      <c r="N377" s="22"/>
    </row>
    <row r="378" spans="14:14" x14ac:dyDescent="0.25">
      <c r="N378" s="22"/>
    </row>
    <row r="379" spans="14:14" x14ac:dyDescent="0.25">
      <c r="N379" s="22"/>
    </row>
    <row r="380" spans="14:14" x14ac:dyDescent="0.25">
      <c r="N380" s="22"/>
    </row>
    <row r="381" spans="14:14" x14ac:dyDescent="0.25">
      <c r="N381" s="22"/>
    </row>
    <row r="382" spans="14:14" x14ac:dyDescent="0.25">
      <c r="N382" s="22"/>
    </row>
    <row r="383" spans="14:14" x14ac:dyDescent="0.25">
      <c r="N383" s="22"/>
    </row>
    <row r="384" spans="14:14" x14ac:dyDescent="0.25">
      <c r="N384" s="22"/>
    </row>
    <row r="385" spans="14:14" x14ac:dyDescent="0.25">
      <c r="N385" s="22"/>
    </row>
    <row r="386" spans="14:14" x14ac:dyDescent="0.25">
      <c r="N386" s="22"/>
    </row>
    <row r="387" spans="14:14" x14ac:dyDescent="0.25">
      <c r="N387" s="22"/>
    </row>
    <row r="388" spans="14:14" x14ac:dyDescent="0.25">
      <c r="N388" s="22"/>
    </row>
    <row r="389" spans="14:14" x14ac:dyDescent="0.25">
      <c r="N389" s="22"/>
    </row>
    <row r="390" spans="14:14" x14ac:dyDescent="0.25">
      <c r="N390" s="22"/>
    </row>
    <row r="391" spans="14:14" x14ac:dyDescent="0.25">
      <c r="N391" s="22"/>
    </row>
    <row r="392" spans="14:14" x14ac:dyDescent="0.25">
      <c r="N392" s="22"/>
    </row>
    <row r="393" spans="14:14" x14ac:dyDescent="0.25">
      <c r="N393" s="22"/>
    </row>
    <row r="394" spans="14:14" x14ac:dyDescent="0.25">
      <c r="N394" s="22"/>
    </row>
    <row r="395" spans="14:14" x14ac:dyDescent="0.25">
      <c r="N395" s="22"/>
    </row>
    <row r="396" spans="14:14" x14ac:dyDescent="0.25">
      <c r="N396" s="22"/>
    </row>
    <row r="397" spans="14:14" x14ac:dyDescent="0.25">
      <c r="N397" s="22"/>
    </row>
    <row r="398" spans="14:14" x14ac:dyDescent="0.25">
      <c r="N398" s="22"/>
    </row>
    <row r="399" spans="14:14" x14ac:dyDescent="0.25">
      <c r="N399" s="22"/>
    </row>
    <row r="400" spans="14:14" x14ac:dyDescent="0.25">
      <c r="N400" s="22"/>
    </row>
    <row r="401" spans="14:14" x14ac:dyDescent="0.25">
      <c r="N401" s="22"/>
    </row>
    <row r="402" spans="14:14" x14ac:dyDescent="0.25">
      <c r="N402" s="22"/>
    </row>
    <row r="403" spans="14:14" x14ac:dyDescent="0.25">
      <c r="N403" s="22"/>
    </row>
    <row r="404" spans="14:14" x14ac:dyDescent="0.25">
      <c r="N404" s="22"/>
    </row>
    <row r="405" spans="14:14" x14ac:dyDescent="0.25">
      <c r="N405" s="22"/>
    </row>
    <row r="406" spans="14:14" x14ac:dyDescent="0.25">
      <c r="N406" s="22"/>
    </row>
    <row r="407" spans="14:14" x14ac:dyDescent="0.25">
      <c r="N407" s="22"/>
    </row>
  </sheetData>
  <mergeCells count="7">
    <mergeCell ref="AA1:AB1"/>
    <mergeCell ref="A1:I1"/>
    <mergeCell ref="K1:L1"/>
    <mergeCell ref="N1:O1"/>
    <mergeCell ref="R1:S1"/>
    <mergeCell ref="U1:V1"/>
    <mergeCell ref="X1:Y1"/>
  </mergeCell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C502"/>
  <sheetViews>
    <sheetView topLeftCell="G1" zoomScale="70" zoomScaleNormal="70" workbookViewId="0">
      <selection activeCell="O12" sqref="O12"/>
    </sheetView>
  </sheetViews>
  <sheetFormatPr defaultRowHeight="15" x14ac:dyDescent="0.25"/>
  <cols>
    <col min="1" max="1" width="16.7109375" bestFit="1" customWidth="1"/>
    <col min="2" max="2" width="15" bestFit="1" customWidth="1"/>
    <col min="3" max="3" width="40.28515625" bestFit="1" customWidth="1"/>
    <col min="4" max="4" width="12.85546875" bestFit="1" customWidth="1"/>
    <col min="5" max="5" width="12.85546875" style="84" customWidth="1"/>
    <col min="6" max="6" width="40.28515625" bestFit="1" customWidth="1"/>
    <col min="7" max="7" width="3.140625" style="5" customWidth="1"/>
    <col min="8" max="8" width="14" bestFit="1" customWidth="1"/>
    <col min="9" max="9" width="12.85546875" bestFit="1" customWidth="1"/>
    <col min="10" max="10" width="3.140625" style="5" customWidth="1"/>
    <col min="11" max="11" width="31" bestFit="1" customWidth="1"/>
    <col min="12" max="12" width="19" customWidth="1"/>
    <col min="13" max="13" width="3.140625" style="5" customWidth="1"/>
    <col min="14" max="14" width="20.28515625" customWidth="1"/>
    <col min="15" max="15" width="16.42578125" customWidth="1"/>
    <col min="16" max="16" width="16.42578125" style="61" customWidth="1"/>
    <col min="17" max="17" width="3.140625" style="5" customWidth="1"/>
    <col min="18" max="18" width="23.140625" bestFit="1" customWidth="1"/>
    <col min="19" max="19" width="21.7109375" bestFit="1" customWidth="1"/>
    <col min="20" max="20" width="3.140625" style="5" customWidth="1"/>
    <col min="21" max="21" width="26.85546875" customWidth="1"/>
    <col min="22" max="22" width="43.42578125" customWidth="1"/>
    <col min="23" max="23" width="3.140625" style="5" customWidth="1"/>
    <col min="24" max="24" width="20.5703125" bestFit="1" customWidth="1"/>
    <col min="25" max="25" width="15.7109375" customWidth="1"/>
    <col min="26" max="26" width="3.140625" style="5" customWidth="1"/>
    <col min="27" max="27" width="23.140625" bestFit="1" customWidth="1"/>
    <col min="28" max="28" width="22.140625" bestFit="1" customWidth="1"/>
    <col min="29" max="29" width="3.140625" style="5" customWidth="1"/>
  </cols>
  <sheetData>
    <row r="1" spans="1:29" x14ac:dyDescent="0.25">
      <c r="A1" s="172" t="s">
        <v>0</v>
      </c>
      <c r="B1" s="172"/>
      <c r="C1" s="172"/>
      <c r="D1" s="172"/>
      <c r="E1" s="172"/>
      <c r="F1" s="172"/>
      <c r="G1" s="172"/>
      <c r="H1" s="172"/>
      <c r="I1" s="172"/>
      <c r="J1" s="2"/>
      <c r="K1" s="172" t="s">
        <v>1</v>
      </c>
      <c r="L1" s="172"/>
      <c r="M1" s="2"/>
      <c r="N1" s="172" t="s">
        <v>2</v>
      </c>
      <c r="O1" s="172"/>
      <c r="P1" s="1"/>
      <c r="Q1" s="2"/>
      <c r="R1" s="172" t="s">
        <v>3</v>
      </c>
      <c r="S1" s="172"/>
      <c r="T1" s="2"/>
      <c r="U1" s="172" t="s">
        <v>4</v>
      </c>
      <c r="V1" s="172"/>
      <c r="W1" s="2"/>
      <c r="X1" s="172" t="s">
        <v>5</v>
      </c>
      <c r="Y1" s="172"/>
      <c r="Z1" s="2"/>
      <c r="AA1" s="172" t="s">
        <v>6</v>
      </c>
      <c r="AB1" s="172"/>
      <c r="AC1" s="2"/>
    </row>
    <row r="2" spans="1:29" x14ac:dyDescent="0.25">
      <c r="A2" t="s">
        <v>7</v>
      </c>
      <c r="B2" t="s">
        <v>8</v>
      </c>
      <c r="C2" s="4" t="s">
        <v>9</v>
      </c>
      <c r="D2" s="4" t="s">
        <v>10</v>
      </c>
      <c r="E2" s="4" t="s">
        <v>597</v>
      </c>
      <c r="F2" t="s">
        <v>11</v>
      </c>
      <c r="H2" s="6"/>
      <c r="K2" t="s">
        <v>7</v>
      </c>
      <c r="L2" t="s">
        <v>706</v>
      </c>
      <c r="N2" t="s">
        <v>7</v>
      </c>
      <c r="O2" t="s">
        <v>772</v>
      </c>
      <c r="X2" t="s">
        <v>12</v>
      </c>
      <c r="Y2" t="s">
        <v>13</v>
      </c>
      <c r="AA2" t="str">
        <f>IF(realTime!AA2="","",realTime!AA2)</f>
        <v>Underlying RIC</v>
      </c>
      <c r="AB2" t="str">
        <f>IF(realTime!AB2="","",realTime!AB2)</f>
        <v>.OMXS30</v>
      </c>
    </row>
    <row r="3" spans="1:29" x14ac:dyDescent="0.25">
      <c r="A3" t="s">
        <v>863</v>
      </c>
      <c r="B3" t="s">
        <v>14</v>
      </c>
      <c r="C3" s="4">
        <v>43440</v>
      </c>
      <c r="D3" s="4">
        <v>43441</v>
      </c>
      <c r="E3" s="4">
        <v>43444</v>
      </c>
      <c r="F3">
        <v>1.000011389</v>
      </c>
      <c r="K3" t="s">
        <v>15</v>
      </c>
      <c r="L3" t="s">
        <v>192</v>
      </c>
      <c r="N3" s="61" t="s">
        <v>15</v>
      </c>
      <c r="O3" s="61" t="s">
        <v>192</v>
      </c>
      <c r="R3" s="7" t="s">
        <v>15</v>
      </c>
      <c r="S3" t="s">
        <v>192</v>
      </c>
      <c r="U3" s="83" t="s">
        <v>15</v>
      </c>
      <c r="V3" s="83" t="s">
        <v>192</v>
      </c>
      <c r="X3" t="s">
        <v>16</v>
      </c>
      <c r="Y3">
        <v>1446.499</v>
      </c>
      <c r="AA3" t="str">
        <f>IF(realTime!AA3="","",realTime!AA3)</f>
        <v>Price</v>
      </c>
      <c r="AB3">
        <f>IF(realTime!AB3="","",realTime!AB3)</f>
        <v>1292.2740000000001</v>
      </c>
    </row>
    <row r="4" spans="1:29" x14ac:dyDescent="0.25">
      <c r="A4" t="s">
        <v>864</v>
      </c>
      <c r="B4" t="s">
        <v>17</v>
      </c>
      <c r="C4" s="4">
        <v>43440</v>
      </c>
      <c r="D4" s="4">
        <v>43444</v>
      </c>
      <c r="E4" s="4">
        <v>43451</v>
      </c>
      <c r="F4">
        <v>1.000047224</v>
      </c>
      <c r="N4" s="61"/>
      <c r="O4" s="61"/>
      <c r="R4" s="7" t="s">
        <v>18</v>
      </c>
      <c r="S4">
        <v>360</v>
      </c>
      <c r="U4" s="83" t="s">
        <v>20</v>
      </c>
      <c r="V4" s="4">
        <v>43398</v>
      </c>
      <c r="X4" t="s">
        <v>7</v>
      </c>
      <c r="Y4" t="s">
        <v>704</v>
      </c>
      <c r="AA4" t="str">
        <f>IF(realTime!AA4="","",realTime!AA4)</f>
        <v>RIC</v>
      </c>
      <c r="AB4" t="str">
        <f>IF(realTime!AB4="","",realTime!AB4)</f>
        <v>S30127000E0.ST</v>
      </c>
    </row>
    <row r="5" spans="1:29" x14ac:dyDescent="0.25">
      <c r="A5" t="s">
        <v>865</v>
      </c>
      <c r="B5" t="s">
        <v>19</v>
      </c>
      <c r="C5" s="4">
        <v>43440</v>
      </c>
      <c r="D5" s="4">
        <v>43451</v>
      </c>
      <c r="E5" s="4">
        <v>43475</v>
      </c>
      <c r="F5">
        <v>1.000130846</v>
      </c>
      <c r="K5" t="s">
        <v>20</v>
      </c>
      <c r="L5" s="4">
        <v>43440</v>
      </c>
      <c r="N5" s="61" t="s">
        <v>20</v>
      </c>
      <c r="O5" s="4">
        <v>43440</v>
      </c>
      <c r="R5" s="8" t="s">
        <v>21</v>
      </c>
      <c r="S5" s="4">
        <v>43440</v>
      </c>
      <c r="U5" s="83" t="s">
        <v>23</v>
      </c>
      <c r="V5" s="4">
        <v>43402</v>
      </c>
      <c r="X5" t="s">
        <v>20</v>
      </c>
      <c r="Y5" s="4">
        <v>43440</v>
      </c>
      <c r="AA5" t="str">
        <f>IF(realTime!AA5="","",realTime!AA5)</f>
        <v>Trade date</v>
      </c>
      <c r="AB5" s="4">
        <f ca="1">IF(realTime!AB5="","",realTime!AB5)</f>
        <v>43913</v>
      </c>
    </row>
    <row r="6" spans="1:29" x14ac:dyDescent="0.25">
      <c r="A6" t="s">
        <v>866</v>
      </c>
      <c r="B6" t="s">
        <v>22</v>
      </c>
      <c r="C6" s="4">
        <v>43440</v>
      </c>
      <c r="D6" s="4">
        <v>43475</v>
      </c>
      <c r="E6" s="4">
        <v>43507</v>
      </c>
      <c r="F6">
        <v>1.0003788770000002</v>
      </c>
      <c r="H6" s="9"/>
      <c r="I6" s="4"/>
      <c r="K6" t="s">
        <v>23</v>
      </c>
      <c r="L6" s="4">
        <v>43444</v>
      </c>
      <c r="N6" s="61" t="s">
        <v>23</v>
      </c>
      <c r="O6" s="4">
        <v>43444</v>
      </c>
      <c r="R6" s="8" t="s">
        <v>23</v>
      </c>
      <c r="S6" s="4">
        <v>43444</v>
      </c>
      <c r="U6" s="83"/>
      <c r="V6" s="83"/>
      <c r="X6" t="s">
        <v>24</v>
      </c>
      <c r="Y6" s="4">
        <v>43483</v>
      </c>
      <c r="AA6" t="str">
        <f>IF(realTime!AA6="","",realTime!AA6)</f>
        <v>Maturity</v>
      </c>
      <c r="AB6" s="4">
        <f>IF(realTime!AB6="","",realTime!AB6)</f>
        <v>43966</v>
      </c>
    </row>
    <row r="7" spans="1:29" ht="15.75" thickBot="1" x14ac:dyDescent="0.3">
      <c r="A7" t="s">
        <v>867</v>
      </c>
      <c r="B7" t="s">
        <v>25</v>
      </c>
      <c r="C7" s="4">
        <v>43440</v>
      </c>
      <c r="D7" s="4">
        <v>43507</v>
      </c>
      <c r="E7" s="4">
        <v>43535</v>
      </c>
      <c r="F7">
        <v>1.0007214600000001</v>
      </c>
      <c r="H7" s="4"/>
      <c r="I7" s="4"/>
      <c r="K7" t="s">
        <v>501</v>
      </c>
      <c r="L7" s="4">
        <v>43448</v>
      </c>
      <c r="N7" s="61" t="s">
        <v>26</v>
      </c>
      <c r="O7" s="4">
        <v>43518</v>
      </c>
      <c r="R7" s="4"/>
      <c r="S7" s="4"/>
      <c r="U7" s="83"/>
      <c r="V7" s="83"/>
      <c r="X7" t="s">
        <v>28</v>
      </c>
      <c r="Y7">
        <v>43</v>
      </c>
      <c r="AA7" t="str">
        <f>IF(realTime!AA7="","",realTime!AA7)</f>
        <v>Work days</v>
      </c>
      <c r="AB7">
        <f ca="1">IF(realTime!AB7="","",realTime!AB7)</f>
        <v>37</v>
      </c>
    </row>
    <row r="8" spans="1:29" ht="15.75" thickBot="1" x14ac:dyDescent="0.3">
      <c r="A8" t="s">
        <v>848</v>
      </c>
      <c r="B8" t="s">
        <v>30</v>
      </c>
      <c r="C8" s="4">
        <v>43440</v>
      </c>
      <c r="D8" s="4">
        <v>43535</v>
      </c>
      <c r="E8" s="4">
        <v>43626</v>
      </c>
      <c r="F8">
        <v>1.0008821270000001</v>
      </c>
      <c r="K8" t="s">
        <v>31</v>
      </c>
      <c r="L8">
        <v>1.278E-2</v>
      </c>
      <c r="N8" s="61" t="s">
        <v>38</v>
      </c>
      <c r="O8" s="61">
        <v>0.01</v>
      </c>
      <c r="R8" s="10" t="s">
        <v>32</v>
      </c>
      <c r="U8" s="83" t="s">
        <v>26</v>
      </c>
      <c r="V8" s="4">
        <v>44498</v>
      </c>
      <c r="X8" t="s">
        <v>31</v>
      </c>
      <c r="Y8">
        <v>1444.25</v>
      </c>
      <c r="AA8" t="str">
        <f>IF(realTime!AA8="","",realTime!AA8)</f>
        <v>Strike</v>
      </c>
      <c r="AB8">
        <f>IF(realTime!AB8="","",realTime!AB8)</f>
        <v>1270</v>
      </c>
    </row>
    <row r="9" spans="1:29" x14ac:dyDescent="0.25">
      <c r="A9" t="s">
        <v>868</v>
      </c>
      <c r="B9" t="s">
        <v>34</v>
      </c>
      <c r="C9" s="4">
        <v>43440</v>
      </c>
      <c r="D9" s="4">
        <v>43626</v>
      </c>
      <c r="E9" s="4">
        <v>43718</v>
      </c>
      <c r="F9">
        <v>1.0016169800000001</v>
      </c>
      <c r="K9" t="s">
        <v>35</v>
      </c>
      <c r="L9">
        <v>-5.4800000000000005E-3</v>
      </c>
      <c r="N9" s="61" t="s">
        <v>506</v>
      </c>
      <c r="O9" s="61">
        <v>-7.084E-3</v>
      </c>
      <c r="R9" s="7" t="s">
        <v>27</v>
      </c>
      <c r="S9" s="4">
        <v>42172</v>
      </c>
      <c r="U9" s="83"/>
      <c r="V9" s="83"/>
      <c r="X9" t="s">
        <v>35</v>
      </c>
      <c r="Y9">
        <v>1445.25</v>
      </c>
      <c r="AA9" t="str">
        <f>IF(realTime!AA9="","",realTime!AA9)</f>
        <v>Put/Call</v>
      </c>
      <c r="AB9" t="str">
        <f>IF(realTime!AB9="","",realTime!AB9)</f>
        <v>C-EU</v>
      </c>
    </row>
    <row r="10" spans="1:29" x14ac:dyDescent="0.25">
      <c r="A10" t="s">
        <v>869</v>
      </c>
      <c r="B10" t="s">
        <v>37</v>
      </c>
      <c r="C10" s="4">
        <v>43440</v>
      </c>
      <c r="D10" s="4">
        <v>43718</v>
      </c>
      <c r="E10" s="4">
        <v>43809</v>
      </c>
      <c r="F10">
        <v>1.002331965</v>
      </c>
      <c r="K10" t="s">
        <v>40</v>
      </c>
      <c r="L10">
        <v>99.986000000000004</v>
      </c>
      <c r="N10" s="61" t="s">
        <v>507</v>
      </c>
      <c r="O10" s="61">
        <v>-8.3010000000000011E-3</v>
      </c>
      <c r="R10" s="7" t="s">
        <v>26</v>
      </c>
      <c r="S10" s="4">
        <v>43748</v>
      </c>
      <c r="U10" s="83" t="s">
        <v>598</v>
      </c>
      <c r="V10" s="83" t="s">
        <v>870</v>
      </c>
      <c r="AA10" t="str">
        <f>IF(realTime!AA10="","",realTime!AA10)</f>
        <v>Bid</v>
      </c>
      <c r="AB10">
        <f>IF(realTime!AB10="","",realTime!AB10)</f>
        <v>0</v>
      </c>
    </row>
    <row r="11" spans="1:29" x14ac:dyDescent="0.25">
      <c r="A11" t="s">
        <v>871</v>
      </c>
      <c r="B11" t="s">
        <v>39</v>
      </c>
      <c r="C11" s="4">
        <v>43440</v>
      </c>
      <c r="D11" s="4">
        <v>43809</v>
      </c>
      <c r="E11" s="4">
        <v>43900</v>
      </c>
      <c r="F11">
        <v>1.003002312</v>
      </c>
      <c r="H11" s="4"/>
      <c r="I11" s="14"/>
      <c r="J11" s="15"/>
      <c r="K11" t="s">
        <v>44</v>
      </c>
      <c r="L11">
        <v>100.006</v>
      </c>
      <c r="N11" s="61" t="s">
        <v>504</v>
      </c>
      <c r="O11" s="61">
        <v>100.348</v>
      </c>
      <c r="R11" s="7" t="s">
        <v>41</v>
      </c>
      <c r="S11" t="s">
        <v>221</v>
      </c>
      <c r="U11" s="83" t="s">
        <v>42</v>
      </c>
      <c r="V11" s="83" t="s">
        <v>193</v>
      </c>
      <c r="AA11" t="str">
        <f>IF(realTime!AA11="","",realTime!AA11)</f>
        <v>Ask</v>
      </c>
      <c r="AB11">
        <f>IF(realTime!AB11="","",realTime!AB11)</f>
        <v>0</v>
      </c>
    </row>
    <row r="12" spans="1:29" x14ac:dyDescent="0.25">
      <c r="A12" t="s">
        <v>872</v>
      </c>
      <c r="B12" t="s">
        <v>43</v>
      </c>
      <c r="C12" s="4">
        <v>43440</v>
      </c>
      <c r="D12" s="4">
        <v>43900</v>
      </c>
      <c r="E12" s="4">
        <v>43992</v>
      </c>
      <c r="F12">
        <v>1.003532394</v>
      </c>
      <c r="H12" s="4"/>
      <c r="I12" s="14"/>
      <c r="J12" s="15"/>
      <c r="K12" t="s">
        <v>47</v>
      </c>
      <c r="L12" t="s">
        <v>873</v>
      </c>
      <c r="N12" s="61" t="s">
        <v>505</v>
      </c>
      <c r="O12" s="61">
        <v>100.373</v>
      </c>
      <c r="R12" s="17" t="s">
        <v>45</v>
      </c>
      <c r="S12" t="s">
        <v>30</v>
      </c>
      <c r="U12" s="83" t="s">
        <v>24</v>
      </c>
      <c r="V12" s="83" t="s">
        <v>60</v>
      </c>
      <c r="AA12" t="str">
        <f>IF(realTime!AA12="","",realTime!AA12)</f>
        <v/>
      </c>
      <c r="AB12" t="str">
        <f>IF(realTime!AB12="","",realTime!AB12)</f>
        <v/>
      </c>
    </row>
    <row r="13" spans="1:29" x14ac:dyDescent="0.25">
      <c r="A13" t="s">
        <v>874</v>
      </c>
      <c r="B13" t="s">
        <v>46</v>
      </c>
      <c r="C13" s="4">
        <v>43440</v>
      </c>
      <c r="D13" s="4">
        <v>43992</v>
      </c>
      <c r="E13" s="4">
        <v>44084</v>
      </c>
      <c r="F13">
        <v>1.003961272</v>
      </c>
      <c r="N13" s="61"/>
      <c r="O13" s="61"/>
      <c r="U13" s="83" t="s">
        <v>42</v>
      </c>
      <c r="V13" s="137" t="s">
        <v>875</v>
      </c>
      <c r="W13" s="19"/>
      <c r="AA13" t="str">
        <f>IF(realTime!AA13="","",realTime!AA13)</f>
        <v/>
      </c>
      <c r="AB13" t="str">
        <f>IF(realTime!AB13="","",realTime!AB13)</f>
        <v/>
      </c>
    </row>
    <row r="14" spans="1:29" ht="15.75" thickBot="1" x14ac:dyDescent="0.3">
      <c r="A14" t="s">
        <v>876</v>
      </c>
      <c r="B14" t="s">
        <v>49</v>
      </c>
      <c r="C14" s="4">
        <v>43440</v>
      </c>
      <c r="D14" s="4">
        <v>44084</v>
      </c>
      <c r="E14" s="4">
        <v>44175</v>
      </c>
      <c r="F14">
        <v>1.00366943</v>
      </c>
      <c r="H14" s="20"/>
      <c r="I14" s="20"/>
      <c r="K14" t="s">
        <v>877</v>
      </c>
      <c r="M14" s="19"/>
      <c r="N14" s="61" t="s">
        <v>877</v>
      </c>
      <c r="O14" s="61"/>
      <c r="Q14" s="19"/>
      <c r="U14" s="83" t="s">
        <v>586</v>
      </c>
      <c r="V14" s="83" t="s">
        <v>878</v>
      </c>
      <c r="AA14" t="str">
        <f>IF(realTime!AA14="","",realTime!AA14)</f>
        <v/>
      </c>
      <c r="AB14" t="str">
        <f>IF(realTime!AB14="","",realTime!AB14)</f>
        <v/>
      </c>
    </row>
    <row r="15" spans="1:29" ht="15.75" thickBot="1" x14ac:dyDescent="0.3">
      <c r="A15" t="s">
        <v>879</v>
      </c>
      <c r="B15" t="s">
        <v>50</v>
      </c>
      <c r="C15" s="4">
        <v>43440</v>
      </c>
      <c r="D15" s="4">
        <v>44175</v>
      </c>
      <c r="E15" s="4">
        <v>44265</v>
      </c>
      <c r="F15">
        <v>1.0029558630000002</v>
      </c>
      <c r="H15" s="20"/>
      <c r="I15" s="20"/>
      <c r="K15" t="s">
        <v>503</v>
      </c>
      <c r="L15" t="s">
        <v>821</v>
      </c>
      <c r="N15" s="61" t="s">
        <v>503</v>
      </c>
      <c r="O15" s="61" t="s">
        <v>825</v>
      </c>
      <c r="R15" s="21" t="s">
        <v>51</v>
      </c>
      <c r="U15" s="83" t="s">
        <v>587</v>
      </c>
      <c r="V15" s="83" t="s">
        <v>880</v>
      </c>
      <c r="AA15" t="str">
        <f>IF(realTime!AA15="","",realTime!AA15)</f>
        <v/>
      </c>
      <c r="AB15" t="str">
        <f>IF(realTime!AB15="","",realTime!AB15)</f>
        <v/>
      </c>
    </row>
    <row r="16" spans="1:29" x14ac:dyDescent="0.25">
      <c r="A16" t="s">
        <v>881</v>
      </c>
      <c r="B16" t="s">
        <v>52</v>
      </c>
      <c r="C16" s="4">
        <v>43440</v>
      </c>
      <c r="D16" s="4">
        <v>44265</v>
      </c>
      <c r="E16" s="4">
        <v>44357</v>
      </c>
      <c r="F16">
        <v>1.002353888</v>
      </c>
      <c r="K16" t="s">
        <v>502</v>
      </c>
      <c r="L16" t="s">
        <v>260</v>
      </c>
      <c r="N16" s="61" t="s">
        <v>521</v>
      </c>
      <c r="O16" s="61" t="s">
        <v>882</v>
      </c>
      <c r="R16" s="7" t="s">
        <v>27</v>
      </c>
      <c r="S16" s="4">
        <v>41890</v>
      </c>
      <c r="U16" s="83"/>
      <c r="V16" s="83"/>
      <c r="AA16" t="str">
        <f>IF(realTime!AA16="","",realTime!AA16)</f>
        <v/>
      </c>
      <c r="AB16" t="str">
        <f>IF(realTime!AB16="","",realTime!AB16)</f>
        <v/>
      </c>
    </row>
    <row r="17" spans="1:28" x14ac:dyDescent="0.25">
      <c r="A17" t="s">
        <v>883</v>
      </c>
      <c r="B17" t="s">
        <v>53</v>
      </c>
      <c r="C17" s="4">
        <v>43440</v>
      </c>
      <c r="D17" s="4">
        <v>44357</v>
      </c>
      <c r="E17" s="4">
        <v>44449</v>
      </c>
      <c r="F17">
        <v>1.0018426920000001</v>
      </c>
      <c r="K17" t="s">
        <v>18</v>
      </c>
      <c r="L17" t="s">
        <v>261</v>
      </c>
      <c r="N17" s="61" t="s">
        <v>527</v>
      </c>
      <c r="O17" s="4">
        <v>43153</v>
      </c>
      <c r="R17" s="7" t="s">
        <v>45</v>
      </c>
      <c r="S17" s="8" t="s">
        <v>34</v>
      </c>
      <c r="U17" s="83" t="s">
        <v>55</v>
      </c>
      <c r="V17" s="83"/>
      <c r="X17" s="6" t="s">
        <v>56</v>
      </c>
      <c r="AA17" s="6" t="str">
        <f>IF(realTime!AA17="","",realTime!AA17)</f>
        <v>0#OMXS30*.ST++</v>
      </c>
      <c r="AB17" t="str">
        <f>IF(realTime!AB17="","",realTime!AB17)</f>
        <v/>
      </c>
    </row>
    <row r="18" spans="1:28" x14ac:dyDescent="0.25">
      <c r="A18" t="s">
        <v>884</v>
      </c>
      <c r="B18" t="s">
        <v>58</v>
      </c>
      <c r="C18" s="4">
        <v>43440</v>
      </c>
      <c r="D18" s="4">
        <v>44449</v>
      </c>
      <c r="E18" s="4">
        <v>44540</v>
      </c>
      <c r="F18">
        <v>1.00129779</v>
      </c>
      <c r="N18" s="61" t="s">
        <v>54</v>
      </c>
      <c r="O18" s="4">
        <v>43518</v>
      </c>
      <c r="R18" s="7" t="s">
        <v>26</v>
      </c>
      <c r="S18" s="4">
        <v>42073</v>
      </c>
      <c r="U18" s="4">
        <v>43767</v>
      </c>
      <c r="V18" s="83">
        <v>1</v>
      </c>
      <c r="X18" t="s">
        <v>877</v>
      </c>
      <c r="AA18" t="str">
        <f>IF(realTime!AA18="","",realTime!AA18)</f>
        <v>Updated at 18:29:33</v>
      </c>
      <c r="AB18" t="str">
        <f>IF(realTime!AB18="","",realTime!AB18)</f>
        <v/>
      </c>
    </row>
    <row r="19" spans="1:28" x14ac:dyDescent="0.25">
      <c r="A19" t="s">
        <v>847</v>
      </c>
      <c r="B19" t="s">
        <v>60</v>
      </c>
      <c r="C19" s="4">
        <v>43440</v>
      </c>
      <c r="D19" s="4">
        <v>44540</v>
      </c>
      <c r="E19" s="4">
        <v>44630</v>
      </c>
      <c r="F19">
        <v>1.000588402</v>
      </c>
      <c r="N19" s="61" t="s">
        <v>59</v>
      </c>
      <c r="O19" s="4">
        <v>43518</v>
      </c>
      <c r="U19" s="4">
        <v>44133</v>
      </c>
      <c r="V19" s="83">
        <v>1</v>
      </c>
      <c r="X19" s="22" t="s">
        <v>612</v>
      </c>
      <c r="AA19" s="22" t="str">
        <f>IF(realTime!AA19="","",realTime!AA19)</f>
        <v>.OMXS30</v>
      </c>
      <c r="AB19" t="str">
        <f>IF(realTime!AB19="","",realTime!AB19)</f>
        <v/>
      </c>
    </row>
    <row r="20" spans="1:28" x14ac:dyDescent="0.25">
      <c r="A20" t="s">
        <v>885</v>
      </c>
      <c r="B20" t="s">
        <v>61</v>
      </c>
      <c r="C20" s="4">
        <v>43440</v>
      </c>
      <c r="D20" s="4">
        <v>44630</v>
      </c>
      <c r="E20" s="4">
        <v>44722</v>
      </c>
      <c r="F20">
        <v>0.99961576600000002</v>
      </c>
      <c r="N20" s="61" t="s">
        <v>522</v>
      </c>
      <c r="O20" s="78">
        <v>41656</v>
      </c>
      <c r="U20" s="4">
        <v>44498</v>
      </c>
      <c r="V20" s="83">
        <v>1</v>
      </c>
      <c r="X20" s="22" t="s">
        <v>704</v>
      </c>
      <c r="AA20" s="22" t="str">
        <f>IF(realTime!AA20="","",realTime!AA20)</f>
        <v>S30127000D0.ST</v>
      </c>
      <c r="AB20" t="str">
        <f>IF(realTime!AB20="","",realTime!AB20)</f>
        <v/>
      </c>
    </row>
    <row r="21" spans="1:28" x14ac:dyDescent="0.25">
      <c r="A21" t="s">
        <v>886</v>
      </c>
      <c r="B21" t="s">
        <v>62</v>
      </c>
      <c r="C21" s="4">
        <v>43440</v>
      </c>
      <c r="D21" s="4">
        <v>44722</v>
      </c>
      <c r="E21" s="4">
        <v>44816</v>
      </c>
      <c r="F21">
        <v>0.99835691900000001</v>
      </c>
      <c r="N21" s="61" t="s">
        <v>523</v>
      </c>
      <c r="O21" s="78">
        <v>41656</v>
      </c>
      <c r="U21" s="79">
        <v>0</v>
      </c>
      <c r="V21" s="83">
        <v>0</v>
      </c>
      <c r="X21" s="22" t="s">
        <v>705</v>
      </c>
      <c r="AA21" s="22" t="str">
        <f>IF(realTime!AA21="","",realTime!AA21)</f>
        <v>S30127000P0.ST</v>
      </c>
      <c r="AB21" t="str">
        <f>IF(realTime!AB21="","",realTime!AB21)</f>
        <v/>
      </c>
    </row>
    <row r="22" spans="1:28" x14ac:dyDescent="0.25">
      <c r="A22" t="s">
        <v>887</v>
      </c>
      <c r="B22" t="s">
        <v>63</v>
      </c>
      <c r="C22" s="4">
        <v>43440</v>
      </c>
      <c r="D22" s="4">
        <v>44816</v>
      </c>
      <c r="E22" s="4">
        <v>44907</v>
      </c>
      <c r="F22">
        <v>0.99684128800000005</v>
      </c>
      <c r="N22" s="61" t="s">
        <v>524</v>
      </c>
      <c r="O22" s="4">
        <v>41656</v>
      </c>
      <c r="U22" s="79">
        <v>0</v>
      </c>
      <c r="V22" s="83">
        <v>0</v>
      </c>
      <c r="X22" s="22" t="s">
        <v>635</v>
      </c>
      <c r="AA22" s="22" t="str">
        <f>IF(realTime!AA22="","",realTime!AA22)</f>
        <v>S30127500D0.ST</v>
      </c>
      <c r="AB22" t="str">
        <f>IF(realTime!AB22="","",realTime!AB22)</f>
        <v/>
      </c>
    </row>
    <row r="23" spans="1:28" x14ac:dyDescent="0.25">
      <c r="A23" t="s">
        <v>888</v>
      </c>
      <c r="B23" t="s">
        <v>64</v>
      </c>
      <c r="C23" s="4">
        <v>43440</v>
      </c>
      <c r="D23" s="4">
        <v>44907</v>
      </c>
      <c r="E23" s="4">
        <v>44995</v>
      </c>
      <c r="F23">
        <v>0.99519842300000005</v>
      </c>
      <c r="N23" s="61" t="s">
        <v>525</v>
      </c>
      <c r="O23" s="4">
        <v>41656</v>
      </c>
      <c r="U23" s="79">
        <v>0</v>
      </c>
      <c r="V23" s="83">
        <v>0</v>
      </c>
      <c r="X23" s="22" t="s">
        <v>640</v>
      </c>
      <c r="AA23" s="22" t="str">
        <f>IF(realTime!AA23="","",realTime!AA23)</f>
        <v>S30127500P0.ST</v>
      </c>
      <c r="AB23" t="str">
        <f>IF(realTime!AB23="","",realTime!AB23)</f>
        <v/>
      </c>
    </row>
    <row r="24" spans="1:28" x14ac:dyDescent="0.25">
      <c r="A24" t="s">
        <v>889</v>
      </c>
      <c r="B24" t="s">
        <v>65</v>
      </c>
      <c r="C24" s="4">
        <v>43440</v>
      </c>
      <c r="D24" s="4">
        <v>44995</v>
      </c>
      <c r="E24" s="4">
        <v>45089</v>
      </c>
      <c r="F24">
        <v>0.99347920800000011</v>
      </c>
      <c r="N24" s="61"/>
      <c r="O24" s="61"/>
      <c r="U24" s="79">
        <v>0</v>
      </c>
      <c r="V24" s="83">
        <v>0</v>
      </c>
      <c r="X24" s="22" t="s">
        <v>641</v>
      </c>
      <c r="AA24" s="22" t="str">
        <f>IF(realTime!AA24="","",realTime!AA24)</f>
        <v>S30128000D0.ST</v>
      </c>
      <c r="AB24" t="str">
        <f>IF(realTime!AB24="","",realTime!AB24)</f>
        <v/>
      </c>
    </row>
    <row r="25" spans="1:28" x14ac:dyDescent="0.25">
      <c r="A25" t="s">
        <v>890</v>
      </c>
      <c r="B25" t="s">
        <v>66</v>
      </c>
      <c r="C25" s="4">
        <v>43440</v>
      </c>
      <c r="D25" s="4">
        <v>45089</v>
      </c>
      <c r="E25" s="4">
        <v>45180</v>
      </c>
      <c r="F25">
        <v>0.99150102200000001</v>
      </c>
      <c r="N25" s="61" t="s">
        <v>502</v>
      </c>
      <c r="O25" s="61" t="s">
        <v>260</v>
      </c>
      <c r="U25" s="79">
        <v>0</v>
      </c>
      <c r="V25" s="83">
        <v>0</v>
      </c>
      <c r="X25" s="22" t="s">
        <v>613</v>
      </c>
      <c r="AA25" s="22" t="str">
        <f>IF(realTime!AA25="","",realTime!AA25)</f>
        <v>S30128000P0.ST</v>
      </c>
      <c r="AB25" t="str">
        <f>IF(realTime!AB25="","",realTime!AB25)</f>
        <v/>
      </c>
    </row>
    <row r="26" spans="1:28" x14ac:dyDescent="0.25">
      <c r="A26" t="s">
        <v>891</v>
      </c>
      <c r="B26" t="s">
        <v>67</v>
      </c>
      <c r="C26" s="4">
        <v>43440</v>
      </c>
      <c r="D26" s="4">
        <v>45180</v>
      </c>
      <c r="E26" s="4">
        <v>45271</v>
      </c>
      <c r="F26">
        <v>0.98943735900000007</v>
      </c>
      <c r="N26" s="61" t="s">
        <v>18</v>
      </c>
      <c r="O26" s="61" t="s">
        <v>261</v>
      </c>
      <c r="U26" s="79">
        <v>0</v>
      </c>
      <c r="V26" s="83">
        <v>0</v>
      </c>
      <c r="X26" s="22" t="s">
        <v>642</v>
      </c>
      <c r="AA26" s="22" t="str">
        <f>IF(realTime!AA26="","",realTime!AA26)</f>
        <v>S30128500D0.ST</v>
      </c>
      <c r="AB26" t="str">
        <f>IF(realTime!AB26="","",realTime!AB26)</f>
        <v/>
      </c>
    </row>
    <row r="27" spans="1:28" x14ac:dyDescent="0.25">
      <c r="A27" t="s">
        <v>892</v>
      </c>
      <c r="B27" t="s">
        <v>68</v>
      </c>
      <c r="C27" s="4">
        <v>43440</v>
      </c>
      <c r="D27" s="4">
        <v>45271</v>
      </c>
      <c r="E27" s="4">
        <v>45362</v>
      </c>
      <c r="F27">
        <v>0.98721842600000009</v>
      </c>
      <c r="N27" s="61"/>
      <c r="O27" s="61"/>
      <c r="U27" s="79">
        <v>0</v>
      </c>
      <c r="V27" s="84">
        <v>0</v>
      </c>
      <c r="X27" s="22" t="s">
        <v>614</v>
      </c>
      <c r="AA27" s="22" t="str">
        <f>IF(realTime!AA27="","",realTime!AA27)</f>
        <v>S30128500P0.ST</v>
      </c>
      <c r="AB27" t="str">
        <f>IF(realTime!AB27="","",realTime!AB27)</f>
        <v/>
      </c>
    </row>
    <row r="28" spans="1:28" x14ac:dyDescent="0.25">
      <c r="A28" t="s">
        <v>893</v>
      </c>
      <c r="B28" t="s">
        <v>69</v>
      </c>
      <c r="C28" s="4">
        <v>43440</v>
      </c>
      <c r="D28" s="4">
        <v>45362</v>
      </c>
      <c r="E28" s="4">
        <v>45453</v>
      </c>
      <c r="F28">
        <v>0.98483840200000006</v>
      </c>
      <c r="N28" s="61"/>
      <c r="O28" s="61"/>
      <c r="U28" s="79">
        <v>0</v>
      </c>
      <c r="V28" s="84">
        <v>0</v>
      </c>
      <c r="X28" s="22" t="s">
        <v>634</v>
      </c>
      <c r="AA28" s="22" t="str">
        <f>IF(realTime!AA28="","",realTime!AA28)</f>
        <v>S30129000D0.ST</v>
      </c>
      <c r="AB28" t="str">
        <f>IF(realTime!AB28="","",realTime!AB28)</f>
        <v/>
      </c>
    </row>
    <row r="29" spans="1:28" x14ac:dyDescent="0.25">
      <c r="A29" t="s">
        <v>894</v>
      </c>
      <c r="B29" t="s">
        <v>70</v>
      </c>
      <c r="C29" s="4">
        <v>43440</v>
      </c>
      <c r="D29" s="4">
        <v>45453</v>
      </c>
      <c r="E29" s="4">
        <v>45545</v>
      </c>
      <c r="F29">
        <v>0.98230406400000003</v>
      </c>
      <c r="N29" s="61"/>
      <c r="O29" s="61"/>
      <c r="U29" s="79">
        <v>0</v>
      </c>
      <c r="V29" s="84">
        <v>0</v>
      </c>
      <c r="X29" s="22" t="s">
        <v>636</v>
      </c>
      <c r="AA29" s="22" t="str">
        <f>IF(realTime!AA29="","",realTime!AA29)</f>
        <v>S30129000P0.ST</v>
      </c>
      <c r="AB29" t="str">
        <f>IF(realTime!AB29="","",realTime!AB29)</f>
        <v/>
      </c>
    </row>
    <row r="30" spans="1:28" x14ac:dyDescent="0.25">
      <c r="A30" t="s">
        <v>895</v>
      </c>
      <c r="B30" t="s">
        <v>71</v>
      </c>
      <c r="C30" s="4">
        <v>43440</v>
      </c>
      <c r="D30" s="4">
        <v>45545</v>
      </c>
      <c r="E30" s="4">
        <v>45636</v>
      </c>
      <c r="F30">
        <v>0.97959514000000003</v>
      </c>
      <c r="N30" s="61"/>
      <c r="O30" s="61"/>
      <c r="U30" s="79">
        <v>0</v>
      </c>
      <c r="V30" s="84">
        <v>0</v>
      </c>
      <c r="AA30" s="22" t="str">
        <f>IF(realTime!AA30="","",realTime!AA30)</f>
        <v>S30129500D0.ST</v>
      </c>
      <c r="AB30" t="str">
        <f>IF(realTime!AB30="","",realTime!AB30)</f>
        <v/>
      </c>
    </row>
    <row r="31" spans="1:28" x14ac:dyDescent="0.25">
      <c r="A31" t="s">
        <v>896</v>
      </c>
      <c r="B31" t="s">
        <v>72</v>
      </c>
      <c r="C31" s="4">
        <v>43440</v>
      </c>
      <c r="D31" s="4">
        <v>45636</v>
      </c>
      <c r="E31" s="4">
        <v>45726</v>
      </c>
      <c r="F31">
        <v>0.97678053700000012</v>
      </c>
      <c r="N31" s="61"/>
      <c r="O31" s="61"/>
      <c r="U31" s="79">
        <v>0</v>
      </c>
      <c r="V31" s="84">
        <v>0</v>
      </c>
      <c r="AA31" s="22" t="str">
        <f>IF(realTime!AA31="","",realTime!AA31)</f>
        <v>S30129500P0.ST</v>
      </c>
      <c r="AB31" t="str">
        <f>IF(realTime!AB31="","",realTime!AB31)</f>
        <v/>
      </c>
    </row>
    <row r="32" spans="1:28" x14ac:dyDescent="0.25">
      <c r="A32" t="s">
        <v>897</v>
      </c>
      <c r="B32" t="s">
        <v>73</v>
      </c>
      <c r="C32" s="4">
        <v>43440</v>
      </c>
      <c r="D32" s="4">
        <v>45726</v>
      </c>
      <c r="E32" s="4">
        <v>45818</v>
      </c>
      <c r="F32">
        <v>0.97387365400000003</v>
      </c>
      <c r="N32" s="61"/>
      <c r="O32" s="61"/>
      <c r="S32" s="22"/>
      <c r="U32" s="79">
        <v>0</v>
      </c>
      <c r="V32" s="84">
        <v>0</v>
      </c>
      <c r="AA32" s="22" t="str">
        <f>IF(realTime!AA32="","",realTime!AA32)</f>
        <v>S30130000D0.ST</v>
      </c>
      <c r="AB32" t="str">
        <f>IF(realTime!AB32="","",realTime!AB32)</f>
        <v/>
      </c>
    </row>
    <row r="33" spans="1:28" x14ac:dyDescent="0.25">
      <c r="A33" t="s">
        <v>898</v>
      </c>
      <c r="B33" t="s">
        <v>74</v>
      </c>
      <c r="C33" s="4">
        <v>43440</v>
      </c>
      <c r="D33" s="4">
        <v>45818</v>
      </c>
      <c r="E33" s="4">
        <v>45910</v>
      </c>
      <c r="F33">
        <v>0.97078141600000001</v>
      </c>
      <c r="K33" s="14"/>
      <c r="L33" s="14"/>
      <c r="N33" s="61"/>
      <c r="O33" s="61"/>
      <c r="S33" s="22"/>
      <c r="U33" s="79">
        <v>0</v>
      </c>
      <c r="V33" s="84">
        <v>0</v>
      </c>
      <c r="AA33" s="22" t="str">
        <f>IF(realTime!AA33="","",realTime!AA33)</f>
        <v>S30130000P0.ST</v>
      </c>
      <c r="AB33" t="str">
        <f>IF(realTime!AB33="","",realTime!AB33)</f>
        <v/>
      </c>
    </row>
    <row r="34" spans="1:28" x14ac:dyDescent="0.25">
      <c r="A34" t="s">
        <v>899</v>
      </c>
      <c r="B34" t="s">
        <v>75</v>
      </c>
      <c r="C34" s="4">
        <v>43440</v>
      </c>
      <c r="D34" s="4">
        <v>45910</v>
      </c>
      <c r="E34" s="4">
        <v>46001</v>
      </c>
      <c r="F34">
        <v>0.9675722120000001</v>
      </c>
      <c r="K34" s="14" t="s">
        <v>499</v>
      </c>
      <c r="L34" s="14">
        <v>12</v>
      </c>
      <c r="N34" s="61" t="s">
        <v>500</v>
      </c>
      <c r="O34" s="61">
        <v>63</v>
      </c>
      <c r="S34" s="22"/>
      <c r="U34" s="79">
        <v>0</v>
      </c>
      <c r="V34" s="84">
        <v>0</v>
      </c>
      <c r="AA34" s="22" t="str">
        <f>IF(realTime!AA34="","",realTime!AA34)</f>
        <v>S30130500D0.ST</v>
      </c>
      <c r="AB34" t="str">
        <f>IF(realTime!AB34="","",realTime!AB34)</f>
        <v/>
      </c>
    </row>
    <row r="35" spans="1:28" x14ac:dyDescent="0.25">
      <c r="A35" t="s">
        <v>900</v>
      </c>
      <c r="B35" t="s">
        <v>76</v>
      </c>
      <c r="C35" s="4">
        <v>43440</v>
      </c>
      <c r="D35" s="4">
        <v>46001</v>
      </c>
      <c r="E35" s="4">
        <v>46091</v>
      </c>
      <c r="F35">
        <v>0.96428788100000007</v>
      </c>
      <c r="K35" s="14"/>
      <c r="L35" s="14"/>
      <c r="N35" s="61"/>
      <c r="O35" s="61" t="s">
        <v>519</v>
      </c>
      <c r="P35" s="61" t="s">
        <v>520</v>
      </c>
      <c r="S35" s="22"/>
      <c r="U35" s="79">
        <v>0</v>
      </c>
      <c r="V35" s="84">
        <v>0</v>
      </c>
      <c r="AA35" s="22" t="str">
        <f>IF(realTime!AA35="","",realTime!AA35)</f>
        <v>S30130500P0.ST</v>
      </c>
      <c r="AB35" t="str">
        <f>IF(realTime!AB35="","",realTime!AB35)</f>
        <v/>
      </c>
    </row>
    <row r="36" spans="1:28" x14ac:dyDescent="0.25">
      <c r="A36" t="s">
        <v>901</v>
      </c>
      <c r="B36" t="s">
        <v>77</v>
      </c>
      <c r="C36" s="4">
        <v>43440</v>
      </c>
      <c r="D36" s="4">
        <v>46091</v>
      </c>
      <c r="E36" s="4">
        <v>46183</v>
      </c>
      <c r="F36">
        <v>0.96093650900000005</v>
      </c>
      <c r="K36" s="14" t="s">
        <v>902</v>
      </c>
      <c r="L36" s="58">
        <v>43448</v>
      </c>
      <c r="N36" s="61" t="s">
        <v>903</v>
      </c>
      <c r="O36" s="4">
        <v>43518</v>
      </c>
      <c r="P36" s="4">
        <v>42057</v>
      </c>
      <c r="S36" s="22"/>
      <c r="U36" s="79">
        <v>0</v>
      </c>
      <c r="V36" s="84">
        <v>0</v>
      </c>
      <c r="AA36" s="22" t="str">
        <f>IF(realTime!AA36="","",realTime!AA36)</f>
        <v>S30131000D0.ST</v>
      </c>
      <c r="AB36" t="str">
        <f>IF(realTime!AB36="","",realTime!AB36)</f>
        <v/>
      </c>
    </row>
    <row r="37" spans="1:28" x14ac:dyDescent="0.25">
      <c r="A37" t="s">
        <v>904</v>
      </c>
      <c r="B37" t="s">
        <v>78</v>
      </c>
      <c r="C37" s="4">
        <v>43440</v>
      </c>
      <c r="D37" s="4">
        <v>46183</v>
      </c>
      <c r="E37" s="4">
        <v>46275</v>
      </c>
      <c r="F37">
        <v>0.95740744200000005</v>
      </c>
      <c r="K37" s="14" t="s">
        <v>1002</v>
      </c>
      <c r="L37" s="58">
        <v>43448</v>
      </c>
      <c r="N37" s="61" t="s">
        <v>1002</v>
      </c>
      <c r="O37" s="4">
        <v>43518</v>
      </c>
      <c r="P37" s="4">
        <v>42422</v>
      </c>
      <c r="S37" s="22"/>
      <c r="U37" s="79">
        <v>0</v>
      </c>
      <c r="V37" s="84">
        <v>0</v>
      </c>
      <c r="AA37" s="22" t="str">
        <f>IF(realTime!AA37="","",realTime!AA37)</f>
        <v>S30131000P0.ST</v>
      </c>
      <c r="AB37" t="str">
        <f>IF(realTime!AB37="","",realTime!AB37)</f>
        <v/>
      </c>
    </row>
    <row r="38" spans="1:28" x14ac:dyDescent="0.25">
      <c r="A38" t="s">
        <v>905</v>
      </c>
      <c r="B38" t="s">
        <v>79</v>
      </c>
      <c r="C38" s="4">
        <v>43440</v>
      </c>
      <c r="D38" s="4">
        <v>46275</v>
      </c>
      <c r="E38" s="4">
        <v>46366</v>
      </c>
      <c r="F38">
        <v>0.95377638700000011</v>
      </c>
      <c r="K38" s="14" t="s">
        <v>706</v>
      </c>
      <c r="L38" s="58">
        <v>43448</v>
      </c>
      <c r="N38" s="61" t="s">
        <v>706</v>
      </c>
      <c r="O38" s="4">
        <v>43518</v>
      </c>
      <c r="P38" s="4">
        <v>42788</v>
      </c>
      <c r="S38" s="22"/>
      <c r="U38" s="79">
        <v>0</v>
      </c>
      <c r="V38" s="84">
        <v>0</v>
      </c>
      <c r="AA38" s="22" t="str">
        <f>IF(realTime!AA38="","",realTime!AA38)</f>
        <v>S30125000E0.ST</v>
      </c>
      <c r="AB38" t="str">
        <f>IF(realTime!AB38="","",realTime!AB38)</f>
        <v/>
      </c>
    </row>
    <row r="39" spans="1:28" x14ac:dyDescent="0.25">
      <c r="A39" t="s">
        <v>906</v>
      </c>
      <c r="B39" t="s">
        <v>80</v>
      </c>
      <c r="C39" s="4">
        <v>43440</v>
      </c>
      <c r="D39" s="4">
        <v>46366</v>
      </c>
      <c r="E39" s="4">
        <v>46456</v>
      </c>
      <c r="F39">
        <v>0.95008680700000003</v>
      </c>
      <c r="K39" s="14" t="s">
        <v>707</v>
      </c>
      <c r="L39" s="58">
        <v>43448</v>
      </c>
      <c r="N39" s="61" t="s">
        <v>771</v>
      </c>
      <c r="O39" s="4">
        <v>43518</v>
      </c>
      <c r="P39" s="4">
        <v>43153</v>
      </c>
      <c r="U39" s="79">
        <v>0</v>
      </c>
      <c r="V39" s="84">
        <v>0</v>
      </c>
      <c r="AA39" s="22" t="str">
        <f>IF(realTime!AA39="","",realTime!AA39)</f>
        <v>S30125000Q0.ST</v>
      </c>
      <c r="AB39" t="str">
        <f>IF(realTime!AB39="","",realTime!AB39)</f>
        <v/>
      </c>
    </row>
    <row r="40" spans="1:28" x14ac:dyDescent="0.25">
      <c r="A40" t="s">
        <v>907</v>
      </c>
      <c r="B40" t="s">
        <v>81</v>
      </c>
      <c r="C40" s="4">
        <v>43440</v>
      </c>
      <c r="D40" s="4">
        <v>46456</v>
      </c>
      <c r="E40" s="4">
        <v>46548</v>
      </c>
      <c r="F40">
        <v>0.94634584900000007</v>
      </c>
      <c r="K40" s="14" t="s">
        <v>708</v>
      </c>
      <c r="L40" s="58">
        <v>43448</v>
      </c>
      <c r="N40" s="61" t="s">
        <v>707</v>
      </c>
      <c r="O40" s="4">
        <v>43518</v>
      </c>
      <c r="P40" s="4">
        <v>43518</v>
      </c>
      <c r="U40" s="79">
        <v>0</v>
      </c>
      <c r="V40" s="84">
        <v>0</v>
      </c>
      <c r="AA40" s="22" t="str">
        <f>IF(realTime!AA40="","",realTime!AA40)</f>
        <v>S30126000E0.ST</v>
      </c>
      <c r="AB40" t="str">
        <f>IF(realTime!AB40="","",realTime!AB40)</f>
        <v/>
      </c>
    </row>
    <row r="41" spans="1:28" x14ac:dyDescent="0.25">
      <c r="A41" t="s">
        <v>908</v>
      </c>
      <c r="B41" t="s">
        <v>82</v>
      </c>
      <c r="C41" s="4">
        <v>43440</v>
      </c>
      <c r="D41" s="4">
        <v>46548</v>
      </c>
      <c r="E41" s="4">
        <v>46640</v>
      </c>
      <c r="F41">
        <v>0.94243830000000006</v>
      </c>
      <c r="K41" s="14" t="s">
        <v>709</v>
      </c>
      <c r="L41" s="58">
        <v>43448</v>
      </c>
      <c r="N41" s="61" t="s">
        <v>772</v>
      </c>
      <c r="O41" s="4">
        <v>43518</v>
      </c>
      <c r="P41" s="4" t="e">
        <v>#N/A</v>
      </c>
      <c r="U41" s="79">
        <v>0</v>
      </c>
      <c r="V41" s="84">
        <v>0</v>
      </c>
      <c r="AA41" s="22" t="str">
        <f>IF(realTime!AA41="","",realTime!AA41)</f>
        <v>S30126000Q0.ST</v>
      </c>
      <c r="AB41" t="str">
        <f>IF(realTime!AB41="","",realTime!AB41)</f>
        <v/>
      </c>
    </row>
    <row r="42" spans="1:28" x14ac:dyDescent="0.25">
      <c r="A42" t="s">
        <v>909</v>
      </c>
      <c r="B42" t="s">
        <v>83</v>
      </c>
      <c r="C42" s="4">
        <v>43440</v>
      </c>
      <c r="D42" s="4">
        <v>46640</v>
      </c>
      <c r="E42" s="4">
        <v>46731</v>
      </c>
      <c r="F42">
        <v>0.93845933600000009</v>
      </c>
      <c r="K42" s="14" t="s">
        <v>710</v>
      </c>
      <c r="L42" s="58">
        <v>43448</v>
      </c>
      <c r="N42" s="61" t="s">
        <v>708</v>
      </c>
      <c r="O42" s="4">
        <v>43518</v>
      </c>
      <c r="P42" s="4" t="e">
        <v>#N/A</v>
      </c>
      <c r="R42" s="7"/>
      <c r="S42" s="24"/>
      <c r="U42" s="4" t="e">
        <v>#N/A</v>
      </c>
      <c r="V42" s="84"/>
      <c r="AA42" s="22" t="str">
        <f>IF(realTime!AA42="","",realTime!AA42)</f>
        <v>S30127000E0.ST</v>
      </c>
      <c r="AB42" t="str">
        <f>IF(realTime!AB42="","",realTime!AB42)</f>
        <v/>
      </c>
    </row>
    <row r="43" spans="1:28" x14ac:dyDescent="0.25">
      <c r="A43" t="s">
        <v>910</v>
      </c>
      <c r="B43" t="s">
        <v>84</v>
      </c>
      <c r="C43" s="4">
        <v>43440</v>
      </c>
      <c r="D43" s="4">
        <v>46731</v>
      </c>
      <c r="E43" s="4">
        <v>46822</v>
      </c>
      <c r="F43">
        <v>0.93446616700000007</v>
      </c>
      <c r="K43" s="14" t="s">
        <v>860</v>
      </c>
      <c r="L43" s="58">
        <v>43448</v>
      </c>
      <c r="N43" s="61" t="s">
        <v>709</v>
      </c>
      <c r="O43" s="4">
        <v>43518</v>
      </c>
      <c r="P43" s="4" t="e">
        <v>#N/A</v>
      </c>
      <c r="R43" s="7"/>
      <c r="U43" s="4" t="e">
        <v>#N/A</v>
      </c>
      <c r="V43" s="84"/>
      <c r="AA43" s="22" t="str">
        <f>IF(realTime!AA43="","",realTime!AA43)</f>
        <v>S30127000Q0.ST</v>
      </c>
      <c r="AB43" t="str">
        <f>IF(realTime!AB43="","",realTime!AB43)</f>
        <v/>
      </c>
    </row>
    <row r="44" spans="1:28" x14ac:dyDescent="0.25">
      <c r="A44" t="s">
        <v>911</v>
      </c>
      <c r="B44" t="s">
        <v>85</v>
      </c>
      <c r="C44" s="4">
        <v>43440</v>
      </c>
      <c r="D44" s="4">
        <v>46822</v>
      </c>
      <c r="E44" s="4">
        <v>46916</v>
      </c>
      <c r="F44">
        <v>0.93042614300000004</v>
      </c>
      <c r="K44" s="14" t="s">
        <v>711</v>
      </c>
      <c r="L44" s="58">
        <v>43448</v>
      </c>
      <c r="N44" s="61" t="s">
        <v>773</v>
      </c>
      <c r="O44" s="4">
        <v>43518</v>
      </c>
      <c r="P44" s="4" t="e">
        <v>#N/A</v>
      </c>
      <c r="R44" s="7"/>
      <c r="U44" s="4" t="e">
        <v>#N/A</v>
      </c>
      <c r="V44" s="84"/>
      <c r="AA44" t="str">
        <f>IF(realTime!AA44="","",realTime!AA44)</f>
        <v/>
      </c>
      <c r="AB44" t="str">
        <f>IF(realTime!AB44="","",realTime!AB44)</f>
        <v/>
      </c>
    </row>
    <row r="45" spans="1:28" x14ac:dyDescent="0.25">
      <c r="A45" t="s">
        <v>912</v>
      </c>
      <c r="B45" t="s">
        <v>86</v>
      </c>
      <c r="C45" s="4">
        <v>43440</v>
      </c>
      <c r="D45" s="4">
        <v>46916</v>
      </c>
      <c r="E45" s="4">
        <v>47007</v>
      </c>
      <c r="F45">
        <v>0.92620439500000007</v>
      </c>
      <c r="K45" s="14" t="s">
        <v>712</v>
      </c>
      <c r="L45" s="58">
        <v>43448</v>
      </c>
      <c r="N45" s="61" t="s">
        <v>710</v>
      </c>
      <c r="O45" s="4">
        <v>43518</v>
      </c>
      <c r="P45" s="4" t="e">
        <v>#N/A</v>
      </c>
      <c r="R45" s="25"/>
      <c r="U45" s="4" t="e">
        <v>#N/A</v>
      </c>
      <c r="V45" s="84"/>
      <c r="AA45" t="str">
        <f>IF(realTime!AA45="","",realTime!AA45)</f>
        <v/>
      </c>
      <c r="AB45" t="str">
        <f>IF(realTime!AB45="","",realTime!AB45)</f>
        <v/>
      </c>
    </row>
    <row r="46" spans="1:28" x14ac:dyDescent="0.25">
      <c r="A46" t="s">
        <v>913</v>
      </c>
      <c r="B46" t="s">
        <v>87</v>
      </c>
      <c r="C46" s="4">
        <v>43440</v>
      </c>
      <c r="D46" s="4">
        <v>47007</v>
      </c>
      <c r="E46" s="4">
        <v>47098</v>
      </c>
      <c r="F46">
        <v>0.92206860400000001</v>
      </c>
      <c r="K46" s="14" t="s">
        <v>713</v>
      </c>
      <c r="L46" s="58">
        <v>43448</v>
      </c>
      <c r="N46" s="61" t="s">
        <v>860</v>
      </c>
      <c r="O46" s="4">
        <v>43518</v>
      </c>
      <c r="P46" s="4" t="e">
        <v>#N/A</v>
      </c>
      <c r="R46" s="7"/>
      <c r="S46" s="26"/>
      <c r="U46" s="4" t="e">
        <v>#N/A</v>
      </c>
      <c r="V46" s="84"/>
      <c r="AA46" t="str">
        <f>IF(realTime!AA46="","",realTime!AA46)</f>
        <v/>
      </c>
      <c r="AB46" t="str">
        <f>IF(realTime!AB46="","",realTime!AB46)</f>
        <v/>
      </c>
    </row>
    <row r="47" spans="1:28" x14ac:dyDescent="0.25">
      <c r="A47" t="s">
        <v>914</v>
      </c>
      <c r="B47" t="s">
        <v>88</v>
      </c>
      <c r="C47" s="4">
        <v>43440</v>
      </c>
      <c r="D47" s="4">
        <v>47098</v>
      </c>
      <c r="E47" s="4">
        <v>47462</v>
      </c>
      <c r="F47">
        <v>0.91788305700000006</v>
      </c>
      <c r="K47" s="14" t="s">
        <v>714</v>
      </c>
      <c r="L47" s="58">
        <v>43448</v>
      </c>
      <c r="N47" s="61" t="s">
        <v>774</v>
      </c>
      <c r="O47" s="4">
        <v>43518</v>
      </c>
      <c r="P47" s="4" t="e">
        <v>#N/A</v>
      </c>
      <c r="R47" s="7"/>
      <c r="S47" s="26"/>
      <c r="U47" s="4" t="e">
        <v>#N/A</v>
      </c>
      <c r="V47" s="84"/>
      <c r="AA47" t="str">
        <f>IF(realTime!AA47="","",realTime!AA47)</f>
        <v/>
      </c>
      <c r="AB47" t="str">
        <f>IF(realTime!AB47="","",realTime!AB47)</f>
        <v/>
      </c>
    </row>
    <row r="48" spans="1:28" x14ac:dyDescent="0.25">
      <c r="A48" t="s">
        <v>915</v>
      </c>
      <c r="B48" t="s">
        <v>89</v>
      </c>
      <c r="C48" s="4" t="s">
        <v>916</v>
      </c>
      <c r="D48" s="4" t="s">
        <v>916</v>
      </c>
      <c r="E48" s="4">
        <v>47462</v>
      </c>
      <c r="F48" t="s">
        <v>916</v>
      </c>
      <c r="K48" s="14" t="s">
        <v>715</v>
      </c>
      <c r="L48" s="58">
        <v>43448</v>
      </c>
      <c r="N48" s="61" t="s">
        <v>711</v>
      </c>
      <c r="O48" s="4">
        <v>43518</v>
      </c>
      <c r="P48" s="79" t="e">
        <v>#N/A</v>
      </c>
      <c r="R48" s="7"/>
      <c r="U48" s="4" t="e">
        <v>#N/A</v>
      </c>
      <c r="V48" s="84"/>
      <c r="AA48" t="str">
        <f>IF(realTime!AA48="","",realTime!AA48)</f>
        <v/>
      </c>
      <c r="AB48" t="str">
        <f>IF(realTime!AB48="","",realTime!AB48)</f>
        <v/>
      </c>
    </row>
    <row r="49" spans="1:28" x14ac:dyDescent="0.25">
      <c r="A49" t="s">
        <v>917</v>
      </c>
      <c r="B49" t="s">
        <v>90</v>
      </c>
      <c r="C49" s="4" t="s">
        <v>916</v>
      </c>
      <c r="D49" s="4" t="s">
        <v>916</v>
      </c>
      <c r="E49" s="4">
        <v>47462</v>
      </c>
      <c r="F49" t="s">
        <v>916</v>
      </c>
      <c r="K49" s="14" t="s">
        <v>716</v>
      </c>
      <c r="L49" s="58">
        <v>43448</v>
      </c>
      <c r="N49" s="61" t="s">
        <v>775</v>
      </c>
      <c r="O49" s="4">
        <v>43518</v>
      </c>
      <c r="P49" s="79" t="e">
        <v>#N/A</v>
      </c>
      <c r="R49" s="7"/>
      <c r="S49" s="27"/>
      <c r="U49" s="4" t="e">
        <v>#N/A</v>
      </c>
      <c r="V49" s="84"/>
      <c r="AA49" t="str">
        <f>IF(realTime!AA49="","",realTime!AA49)</f>
        <v/>
      </c>
      <c r="AB49" t="str">
        <f>IF(realTime!AB49="","",realTime!AB49)</f>
        <v/>
      </c>
    </row>
    <row r="50" spans="1:28" x14ac:dyDescent="0.25">
      <c r="A50" t="s">
        <v>918</v>
      </c>
      <c r="B50" t="s">
        <v>91</v>
      </c>
      <c r="C50" s="4" t="s">
        <v>916</v>
      </c>
      <c r="D50" s="4" t="s">
        <v>916</v>
      </c>
      <c r="E50" s="4">
        <v>47462</v>
      </c>
      <c r="F50" t="s">
        <v>916</v>
      </c>
      <c r="K50" s="14"/>
      <c r="L50" s="58">
        <v>43448</v>
      </c>
      <c r="N50" s="61" t="s">
        <v>712</v>
      </c>
      <c r="O50" s="4">
        <v>43518</v>
      </c>
      <c r="P50" s="79" t="e">
        <v>#N/A</v>
      </c>
      <c r="U50" s="4" t="e">
        <v>#N/A</v>
      </c>
      <c r="V50" s="84"/>
      <c r="AA50" t="str">
        <f>IF(realTime!AA50="","",realTime!AA50)</f>
        <v/>
      </c>
      <c r="AB50" t="str">
        <f>IF(realTime!AB50="","",realTime!AB50)</f>
        <v/>
      </c>
    </row>
    <row r="51" spans="1:28" x14ac:dyDescent="0.25">
      <c r="A51" t="s">
        <v>919</v>
      </c>
      <c r="B51" t="s">
        <v>92</v>
      </c>
      <c r="C51" s="4">
        <v>43440</v>
      </c>
      <c r="D51" s="4">
        <v>47462</v>
      </c>
      <c r="E51" s="4">
        <v>47827</v>
      </c>
      <c r="F51">
        <v>0.900732007</v>
      </c>
      <c r="K51" s="14"/>
      <c r="L51" s="14"/>
      <c r="N51" s="61" t="s">
        <v>776</v>
      </c>
      <c r="O51" s="4">
        <v>43518</v>
      </c>
      <c r="P51" s="79" t="e">
        <v>#N/A</v>
      </c>
      <c r="U51" s="4" t="e">
        <v>#N/A</v>
      </c>
      <c r="V51" s="84"/>
      <c r="AA51" t="str">
        <f>IF(realTime!AA51="","",realTime!AA51)</f>
        <v/>
      </c>
      <c r="AB51" t="str">
        <f>IF(realTime!AB51="","",realTime!AB51)</f>
        <v/>
      </c>
    </row>
    <row r="52" spans="1:28" x14ac:dyDescent="0.25">
      <c r="A52" t="s">
        <v>920</v>
      </c>
      <c r="B52" t="s">
        <v>93</v>
      </c>
      <c r="C52" s="4" t="s">
        <v>916</v>
      </c>
      <c r="D52" s="4" t="s">
        <v>916</v>
      </c>
      <c r="E52" s="4">
        <v>47827</v>
      </c>
      <c r="F52" t="s">
        <v>916</v>
      </c>
      <c r="K52" s="14"/>
      <c r="L52" s="14"/>
      <c r="N52" s="61" t="s">
        <v>713</v>
      </c>
      <c r="O52" s="4">
        <v>43518</v>
      </c>
      <c r="P52" s="79" t="e">
        <v>#N/A</v>
      </c>
      <c r="R52" s="7"/>
      <c r="U52" s="4" t="e">
        <v>#N/A</v>
      </c>
      <c r="V52" s="84"/>
      <c r="AA52" t="str">
        <f>IF(realTime!AA52="","",realTime!AA52)</f>
        <v/>
      </c>
      <c r="AB52" t="str">
        <f>IF(realTime!AB52="","",realTime!AB52)</f>
        <v/>
      </c>
    </row>
    <row r="53" spans="1:28" x14ac:dyDescent="0.25">
      <c r="A53" t="s">
        <v>921</v>
      </c>
      <c r="B53" t="s">
        <v>94</v>
      </c>
      <c r="C53" s="4" t="s">
        <v>916</v>
      </c>
      <c r="D53" s="4" t="s">
        <v>916</v>
      </c>
      <c r="E53" s="4">
        <v>47827</v>
      </c>
      <c r="F53" t="s">
        <v>916</v>
      </c>
      <c r="K53" s="14"/>
      <c r="L53" s="14"/>
      <c r="N53" s="61" t="s">
        <v>777</v>
      </c>
      <c r="O53" s="4">
        <v>43518</v>
      </c>
      <c r="P53" s="79" t="e">
        <v>#N/A</v>
      </c>
      <c r="U53" s="4" t="e">
        <v>#N/A</v>
      </c>
      <c r="V53" s="84"/>
      <c r="AA53" t="str">
        <f>IF(realTime!AA53="","",realTime!AA53)</f>
        <v/>
      </c>
      <c r="AB53" t="str">
        <f>IF(realTime!AB53="","",realTime!AB53)</f>
        <v/>
      </c>
    </row>
    <row r="54" spans="1:28" x14ac:dyDescent="0.25">
      <c r="A54" t="s">
        <v>922</v>
      </c>
      <c r="B54" t="s">
        <v>95</v>
      </c>
      <c r="C54" s="4" t="s">
        <v>916</v>
      </c>
      <c r="D54" s="4" t="s">
        <v>916</v>
      </c>
      <c r="E54" s="4">
        <v>47827</v>
      </c>
      <c r="F54" t="s">
        <v>916</v>
      </c>
      <c r="K54" s="14"/>
      <c r="L54" s="14"/>
      <c r="N54" s="61" t="s">
        <v>714</v>
      </c>
      <c r="O54" s="4">
        <v>43518</v>
      </c>
      <c r="P54" s="79" t="e">
        <v>#N/A</v>
      </c>
      <c r="S54" s="28"/>
      <c r="U54" s="4" t="e">
        <v>#N/A</v>
      </c>
      <c r="V54" s="84"/>
      <c r="AA54" t="str">
        <f>IF(realTime!AA54="","",realTime!AA54)</f>
        <v/>
      </c>
      <c r="AB54" t="str">
        <f>IF(realTime!AB54="","",realTime!AB54)</f>
        <v/>
      </c>
    </row>
    <row r="55" spans="1:28" x14ac:dyDescent="0.25">
      <c r="A55" t="s">
        <v>923</v>
      </c>
      <c r="B55" t="s">
        <v>96</v>
      </c>
      <c r="C55" s="4">
        <v>43440</v>
      </c>
      <c r="D55" s="4">
        <v>47827</v>
      </c>
      <c r="E55" s="4">
        <v>48192</v>
      </c>
      <c r="F55">
        <v>0.88326900300000011</v>
      </c>
      <c r="K55" s="22"/>
      <c r="L55" s="4"/>
      <c r="N55" s="61" t="s">
        <v>778</v>
      </c>
      <c r="O55" s="4">
        <v>43518</v>
      </c>
      <c r="P55" s="79" t="e">
        <v>#N/A</v>
      </c>
      <c r="U55" s="4" t="e">
        <v>#N/A</v>
      </c>
      <c r="V55" s="84"/>
      <c r="AA55" t="str">
        <f>IF(realTime!AA55="","",realTime!AA55)</f>
        <v/>
      </c>
      <c r="AB55" t="str">
        <f>IF(realTime!AB55="","",realTime!AB55)</f>
        <v/>
      </c>
    </row>
    <row r="56" spans="1:28" x14ac:dyDescent="0.25">
      <c r="A56" t="s">
        <v>924</v>
      </c>
      <c r="B56" t="s">
        <v>97</v>
      </c>
      <c r="C56" s="4" t="s">
        <v>916</v>
      </c>
      <c r="D56" s="4" t="s">
        <v>916</v>
      </c>
      <c r="E56" s="4">
        <v>48192</v>
      </c>
      <c r="F56" t="s">
        <v>916</v>
      </c>
      <c r="K56" s="23"/>
      <c r="N56" s="61" t="s">
        <v>779</v>
      </c>
      <c r="O56" s="4">
        <v>43518</v>
      </c>
      <c r="P56" s="79" t="e">
        <v>#N/A</v>
      </c>
      <c r="U56" s="4" t="e">
        <v>#N/A</v>
      </c>
      <c r="V56" s="84"/>
      <c r="AA56" t="str">
        <f>IF(realTime!AA56="","",realTime!AA56)</f>
        <v/>
      </c>
      <c r="AB56" t="str">
        <f>IF(realTime!AB56="","",realTime!AB56)</f>
        <v/>
      </c>
    </row>
    <row r="57" spans="1:28" x14ac:dyDescent="0.25">
      <c r="A57" t="s">
        <v>925</v>
      </c>
      <c r="B57" t="s">
        <v>98</v>
      </c>
      <c r="C57" s="4" t="s">
        <v>916</v>
      </c>
      <c r="D57" s="4" t="s">
        <v>916</v>
      </c>
      <c r="E57" s="4">
        <v>48192</v>
      </c>
      <c r="F57" t="s">
        <v>916</v>
      </c>
      <c r="K57" s="23"/>
      <c r="N57" s="61" t="s">
        <v>715</v>
      </c>
      <c r="O57" s="4">
        <v>43518</v>
      </c>
      <c r="P57" s="79" t="e">
        <v>#N/A</v>
      </c>
      <c r="U57" s="4" t="e">
        <v>#N/A</v>
      </c>
      <c r="V57" s="84"/>
      <c r="AA57" t="str">
        <f>IF(realTime!AA57="","",realTime!AA57)</f>
        <v/>
      </c>
      <c r="AB57" t="str">
        <f>IF(realTime!AB57="","",realTime!AB57)</f>
        <v/>
      </c>
    </row>
    <row r="58" spans="1:28" x14ac:dyDescent="0.25">
      <c r="A58" t="s">
        <v>926</v>
      </c>
      <c r="B58" t="s">
        <v>99</v>
      </c>
      <c r="C58" s="4" t="s">
        <v>916</v>
      </c>
      <c r="D58" s="4" t="s">
        <v>916</v>
      </c>
      <c r="E58" s="4">
        <v>48192</v>
      </c>
      <c r="F58" t="s">
        <v>916</v>
      </c>
      <c r="K58" s="23"/>
      <c r="N58" s="61" t="s">
        <v>780</v>
      </c>
      <c r="O58" s="4">
        <v>43518</v>
      </c>
      <c r="P58" s="79" t="e">
        <v>#N/A</v>
      </c>
      <c r="U58" s="4"/>
      <c r="V58" s="84"/>
      <c r="AA58" t="str">
        <f>IF(realTime!AA58="","",realTime!AA58)</f>
        <v/>
      </c>
      <c r="AB58" t="str">
        <f>IF(realTime!AB58="","",realTime!AB58)</f>
        <v/>
      </c>
    </row>
    <row r="59" spans="1:28" x14ac:dyDescent="0.25">
      <c r="A59" t="s">
        <v>927</v>
      </c>
      <c r="B59" t="s">
        <v>100</v>
      </c>
      <c r="C59" s="4">
        <v>43440</v>
      </c>
      <c r="D59" s="4">
        <v>48192</v>
      </c>
      <c r="E59" s="4">
        <v>48558</v>
      </c>
      <c r="F59">
        <v>0.86582188100000002</v>
      </c>
      <c r="K59" s="23"/>
      <c r="N59" s="61" t="s">
        <v>716</v>
      </c>
      <c r="O59" s="4">
        <v>43518</v>
      </c>
      <c r="P59" s="79" t="e">
        <v>#N/A</v>
      </c>
      <c r="U59" s="4" t="s">
        <v>101</v>
      </c>
      <c r="V59" s="84"/>
      <c r="AA59" t="str">
        <f>IF(realTime!AA59="","",realTime!AA59)</f>
        <v/>
      </c>
      <c r="AB59" t="str">
        <f>IF(realTime!AB59="","",realTime!AB59)</f>
        <v/>
      </c>
    </row>
    <row r="60" spans="1:28" x14ac:dyDescent="0.25">
      <c r="A60" t="s">
        <v>928</v>
      </c>
      <c r="B60" t="s">
        <v>102</v>
      </c>
      <c r="C60" s="4" t="s">
        <v>916</v>
      </c>
      <c r="D60" s="4" t="s">
        <v>916</v>
      </c>
      <c r="E60" s="4">
        <v>48558</v>
      </c>
      <c r="F60" t="s">
        <v>916</v>
      </c>
      <c r="K60" s="22"/>
      <c r="N60" s="61" t="s">
        <v>781</v>
      </c>
      <c r="O60" s="4">
        <v>43518</v>
      </c>
      <c r="P60" s="79" t="e">
        <v>#N/A</v>
      </c>
      <c r="U60" s="4">
        <v>43584</v>
      </c>
      <c r="V60" s="84">
        <v>0.50555555555555554</v>
      </c>
      <c r="AA60" t="str">
        <f>IF(realTime!AA60="","",realTime!AA60)</f>
        <v/>
      </c>
      <c r="AB60" t="str">
        <f>IF(realTime!AB60="","",realTime!AB60)</f>
        <v/>
      </c>
    </row>
    <row r="61" spans="1:28" x14ac:dyDescent="0.25">
      <c r="A61" t="s">
        <v>929</v>
      </c>
      <c r="B61" t="s">
        <v>103</v>
      </c>
      <c r="C61" s="4" t="s">
        <v>916</v>
      </c>
      <c r="D61" s="4" t="s">
        <v>916</v>
      </c>
      <c r="E61" s="4">
        <v>48558</v>
      </c>
      <c r="F61" t="s">
        <v>916</v>
      </c>
      <c r="K61" s="22"/>
      <c r="N61" s="61" t="s">
        <v>782</v>
      </c>
      <c r="O61" s="4">
        <v>43518</v>
      </c>
      <c r="P61" s="79" t="e">
        <v>#N/A</v>
      </c>
      <c r="U61" s="4">
        <v>43767</v>
      </c>
      <c r="V61" s="84">
        <v>0.5083333333333333</v>
      </c>
      <c r="AA61" t="str">
        <f>IF(realTime!AA61="","",realTime!AA61)</f>
        <v/>
      </c>
      <c r="AB61" t="str">
        <f>IF(realTime!AB61="","",realTime!AB61)</f>
        <v/>
      </c>
    </row>
    <row r="62" spans="1:28" x14ac:dyDescent="0.25">
      <c r="A62" t="s">
        <v>930</v>
      </c>
      <c r="B62" t="s">
        <v>104</v>
      </c>
      <c r="C62" s="4" t="s">
        <v>916</v>
      </c>
      <c r="D62" s="4" t="s">
        <v>916</v>
      </c>
      <c r="E62" s="4">
        <v>48558</v>
      </c>
      <c r="F62" t="s">
        <v>916</v>
      </c>
      <c r="K62" s="22"/>
      <c r="N62" s="61" t="s">
        <v>783</v>
      </c>
      <c r="O62" s="4">
        <v>43518</v>
      </c>
      <c r="P62" s="79" t="e">
        <v>#N/A</v>
      </c>
      <c r="U62" s="4">
        <v>43950</v>
      </c>
      <c r="V62" s="84">
        <v>0.5083333333333333</v>
      </c>
      <c r="AA62" t="str">
        <f>IF(realTime!AA62="","",realTime!AA62)</f>
        <v/>
      </c>
      <c r="AB62" t="str">
        <f>IF(realTime!AB62="","",realTime!AB62)</f>
        <v/>
      </c>
    </row>
    <row r="63" spans="1:28" x14ac:dyDescent="0.25">
      <c r="A63" t="s">
        <v>931</v>
      </c>
      <c r="B63" t="s">
        <v>105</v>
      </c>
      <c r="C63" s="4">
        <v>43440</v>
      </c>
      <c r="D63" s="4">
        <v>48558</v>
      </c>
      <c r="E63" s="4">
        <v>48925</v>
      </c>
      <c r="F63">
        <v>0.84855268100000003</v>
      </c>
      <c r="K63" s="22"/>
      <c r="N63" s="61" t="s">
        <v>784</v>
      </c>
      <c r="O63" s="4">
        <v>43518</v>
      </c>
      <c r="P63" s="79" t="e">
        <v>#N/A</v>
      </c>
      <c r="U63" s="4">
        <v>44133</v>
      </c>
      <c r="V63" s="84">
        <v>0.5083333333333333</v>
      </c>
      <c r="AA63" t="str">
        <f>IF(realTime!AA63="","",realTime!AA63)</f>
        <v/>
      </c>
      <c r="AB63" t="str">
        <f>IF(realTime!AB63="","",realTime!AB63)</f>
        <v/>
      </c>
    </row>
    <row r="64" spans="1:28" x14ac:dyDescent="0.25">
      <c r="A64" t="s">
        <v>932</v>
      </c>
      <c r="B64" t="s">
        <v>106</v>
      </c>
      <c r="C64" s="4" t="s">
        <v>916</v>
      </c>
      <c r="D64" s="4" t="s">
        <v>916</v>
      </c>
      <c r="E64" s="4">
        <v>48925</v>
      </c>
      <c r="F64" t="s">
        <v>916</v>
      </c>
      <c r="K64" s="22"/>
      <c r="N64" s="61" t="s">
        <v>785</v>
      </c>
      <c r="O64" s="4">
        <v>43518</v>
      </c>
      <c r="P64" s="79" t="e">
        <v>#N/A</v>
      </c>
      <c r="U64" s="4">
        <v>44315</v>
      </c>
      <c r="V64" s="84">
        <v>0.50555555555555554</v>
      </c>
      <c r="AA64" t="str">
        <f>IF(realTime!AA64="","",realTime!AA64)</f>
        <v/>
      </c>
      <c r="AB64" t="str">
        <f>IF(realTime!AB64="","",realTime!AB64)</f>
        <v/>
      </c>
    </row>
    <row r="65" spans="1:28" x14ac:dyDescent="0.25">
      <c r="A65" t="s">
        <v>933</v>
      </c>
      <c r="B65" t="s">
        <v>107</v>
      </c>
      <c r="C65" s="4" t="s">
        <v>916</v>
      </c>
      <c r="D65" s="4" t="s">
        <v>916</v>
      </c>
      <c r="E65" s="4">
        <v>48925</v>
      </c>
      <c r="F65" t="s">
        <v>916</v>
      </c>
      <c r="K65" s="22"/>
      <c r="N65" s="61" t="s">
        <v>786</v>
      </c>
      <c r="O65" s="4">
        <v>43518</v>
      </c>
      <c r="P65" s="79" t="e">
        <v>#N/A</v>
      </c>
      <c r="U65" s="4">
        <v>44498</v>
      </c>
      <c r="V65" s="84">
        <v>0.5083333333333333</v>
      </c>
      <c r="AA65" t="str">
        <f>IF(realTime!AA65="","",realTime!AA65)</f>
        <v/>
      </c>
      <c r="AB65" t="str">
        <f>IF(realTime!AB65="","",realTime!AB65)</f>
        <v/>
      </c>
    </row>
    <row r="66" spans="1:28" x14ac:dyDescent="0.25">
      <c r="A66" t="s">
        <v>934</v>
      </c>
      <c r="B66" t="s">
        <v>108</v>
      </c>
      <c r="C66" s="4" t="s">
        <v>916</v>
      </c>
      <c r="D66" s="4" t="s">
        <v>916</v>
      </c>
      <c r="E66" s="4">
        <v>48925</v>
      </c>
      <c r="F66" t="s">
        <v>916</v>
      </c>
      <c r="K66" s="22"/>
      <c r="N66" s="61" t="s">
        <v>787</v>
      </c>
      <c r="O66" s="4">
        <v>43518</v>
      </c>
      <c r="P66" s="79" t="e">
        <v>#N/A</v>
      </c>
      <c r="U66" s="79">
        <v>0</v>
      </c>
      <c r="V66" s="84">
        <v>0</v>
      </c>
      <c r="AA66" t="str">
        <f>IF(realTime!AA66="","",realTime!AA66)</f>
        <v/>
      </c>
      <c r="AB66" t="str">
        <f>IF(realTime!AB66="","",realTime!AB66)</f>
        <v/>
      </c>
    </row>
    <row r="67" spans="1:28" x14ac:dyDescent="0.25">
      <c r="A67" t="s">
        <v>935</v>
      </c>
      <c r="B67" t="s">
        <v>109</v>
      </c>
      <c r="C67" s="4">
        <v>43440</v>
      </c>
      <c r="D67" s="4">
        <v>48925</v>
      </c>
      <c r="E67" s="4">
        <v>50749</v>
      </c>
      <c r="F67">
        <v>0.83166227700000006</v>
      </c>
      <c r="K67" s="22"/>
      <c r="N67" s="61" t="s">
        <v>788</v>
      </c>
      <c r="O67" s="4">
        <v>43518</v>
      </c>
      <c r="P67" s="79" t="e">
        <v>#N/A</v>
      </c>
      <c r="U67" s="79">
        <v>0</v>
      </c>
      <c r="V67" s="84">
        <v>0</v>
      </c>
      <c r="AA67" t="str">
        <f>IF(realTime!AA67="","",realTime!AA67)</f>
        <v/>
      </c>
      <c r="AB67" t="str">
        <f>IF(realTime!AB67="","",realTime!AB67)</f>
        <v/>
      </c>
    </row>
    <row r="68" spans="1:28" x14ac:dyDescent="0.25">
      <c r="A68" t="s">
        <v>936</v>
      </c>
      <c r="B68" t="s">
        <v>110</v>
      </c>
      <c r="C68" s="4" t="s">
        <v>916</v>
      </c>
      <c r="D68" s="4" t="s">
        <v>916</v>
      </c>
      <c r="E68" s="4">
        <v>50749</v>
      </c>
      <c r="F68" t="s">
        <v>916</v>
      </c>
      <c r="K68" s="22"/>
      <c r="N68" s="61" t="s">
        <v>789</v>
      </c>
      <c r="O68" s="4">
        <v>43518</v>
      </c>
      <c r="P68" s="79" t="e">
        <v>#N/A</v>
      </c>
      <c r="U68" s="79">
        <v>0</v>
      </c>
      <c r="V68" s="84">
        <v>0</v>
      </c>
      <c r="AA68" t="str">
        <f>IF(realTime!AA68="","",realTime!AA68)</f>
        <v/>
      </c>
      <c r="AB68" t="str">
        <f>IF(realTime!AB68="","",realTime!AB68)</f>
        <v/>
      </c>
    </row>
    <row r="69" spans="1:28" x14ac:dyDescent="0.25">
      <c r="A69" t="s">
        <v>937</v>
      </c>
      <c r="B69" t="s">
        <v>111</v>
      </c>
      <c r="C69" s="4" t="s">
        <v>916</v>
      </c>
      <c r="D69" s="4" t="s">
        <v>916</v>
      </c>
      <c r="E69" s="4">
        <v>50749</v>
      </c>
      <c r="F69" t="s">
        <v>916</v>
      </c>
      <c r="K69" s="22"/>
      <c r="N69" s="61" t="s">
        <v>790</v>
      </c>
      <c r="O69" s="4">
        <v>43518</v>
      </c>
      <c r="P69" s="79" t="e">
        <v>#N/A</v>
      </c>
      <c r="U69" s="79">
        <v>0</v>
      </c>
      <c r="V69" s="84">
        <v>0</v>
      </c>
      <c r="AA69" t="str">
        <f>IF(realTime!AA69="","",realTime!AA69)</f>
        <v/>
      </c>
      <c r="AB69" t="str">
        <f>IF(realTime!AB69="","",realTime!AB69)</f>
        <v/>
      </c>
    </row>
    <row r="70" spans="1:28" x14ac:dyDescent="0.25">
      <c r="A70" t="s">
        <v>938</v>
      </c>
      <c r="B70" t="s">
        <v>112</v>
      </c>
      <c r="C70" s="4" t="s">
        <v>916</v>
      </c>
      <c r="D70" s="4" t="s">
        <v>916</v>
      </c>
      <c r="E70" s="4">
        <v>50749</v>
      </c>
      <c r="F70" t="s">
        <v>916</v>
      </c>
      <c r="K70" s="22"/>
      <c r="N70" s="61" t="s">
        <v>791</v>
      </c>
      <c r="O70" s="4">
        <v>43518</v>
      </c>
      <c r="P70" s="79" t="e">
        <v>#N/A</v>
      </c>
      <c r="U70" s="79">
        <v>0</v>
      </c>
      <c r="V70" s="84">
        <v>0</v>
      </c>
      <c r="AA70" t="str">
        <f>IF(realTime!AA70="","",realTime!AA70)</f>
        <v/>
      </c>
      <c r="AB70" t="str">
        <f>IF(realTime!AB70="","",realTime!AB70)</f>
        <v/>
      </c>
    </row>
    <row r="71" spans="1:28" x14ac:dyDescent="0.25">
      <c r="A71" t="s">
        <v>939</v>
      </c>
      <c r="B71" t="s">
        <v>113</v>
      </c>
      <c r="C71" s="4" t="s">
        <v>916</v>
      </c>
      <c r="D71" s="4" t="s">
        <v>916</v>
      </c>
      <c r="E71" s="4">
        <v>50749</v>
      </c>
      <c r="F71" t="s">
        <v>916</v>
      </c>
      <c r="K71" s="22"/>
      <c r="N71" s="61" t="s">
        <v>792</v>
      </c>
      <c r="O71" s="4">
        <v>43518</v>
      </c>
      <c r="P71" s="79" t="e">
        <v>#N/A</v>
      </c>
      <c r="U71" s="79">
        <v>0</v>
      </c>
      <c r="V71" s="84">
        <v>0</v>
      </c>
      <c r="AA71" t="str">
        <f>IF(realTime!AA71="","",realTime!AA71)</f>
        <v/>
      </c>
      <c r="AB71" t="str">
        <f>IF(realTime!AB71="","",realTime!AB71)</f>
        <v/>
      </c>
    </row>
    <row r="72" spans="1:28" x14ac:dyDescent="0.25">
      <c r="A72" t="s">
        <v>940</v>
      </c>
      <c r="B72" t="s">
        <v>114</v>
      </c>
      <c r="C72" s="4" t="s">
        <v>916</v>
      </c>
      <c r="D72" s="4" t="s">
        <v>916</v>
      </c>
      <c r="E72" s="4">
        <v>50749</v>
      </c>
      <c r="F72" t="s">
        <v>916</v>
      </c>
      <c r="K72" s="22"/>
      <c r="N72" s="61" t="s">
        <v>793</v>
      </c>
      <c r="O72" s="4">
        <v>43518</v>
      </c>
      <c r="P72" s="79" t="e">
        <v>#N/A</v>
      </c>
      <c r="U72" s="79">
        <v>0</v>
      </c>
      <c r="V72" s="84">
        <v>0</v>
      </c>
      <c r="AA72" t="str">
        <f>IF(realTime!AA72="","",realTime!AA72)</f>
        <v/>
      </c>
      <c r="AB72" t="str">
        <f>IF(realTime!AB72="","",realTime!AB72)</f>
        <v/>
      </c>
    </row>
    <row r="73" spans="1:28" x14ac:dyDescent="0.25">
      <c r="A73" t="s">
        <v>941</v>
      </c>
      <c r="B73" t="s">
        <v>115</v>
      </c>
      <c r="C73" s="4" t="s">
        <v>916</v>
      </c>
      <c r="D73" s="4" t="s">
        <v>916</v>
      </c>
      <c r="E73" s="4">
        <v>50749</v>
      </c>
      <c r="F73" t="s">
        <v>916</v>
      </c>
      <c r="K73" s="22"/>
      <c r="N73" s="61" t="s">
        <v>794</v>
      </c>
      <c r="O73" s="4">
        <v>43518</v>
      </c>
      <c r="P73" s="79" t="e">
        <v>#N/A</v>
      </c>
      <c r="U73" s="79">
        <v>0</v>
      </c>
      <c r="V73" s="84">
        <v>0</v>
      </c>
      <c r="AA73" t="str">
        <f>IF(realTime!AA73="","",realTime!AA73)</f>
        <v/>
      </c>
      <c r="AB73" t="str">
        <f>IF(realTime!AB73="","",realTime!AB73)</f>
        <v/>
      </c>
    </row>
    <row r="74" spans="1:28" x14ac:dyDescent="0.25">
      <c r="A74" t="s">
        <v>942</v>
      </c>
      <c r="B74" t="s">
        <v>116</v>
      </c>
      <c r="C74" s="4" t="s">
        <v>916</v>
      </c>
      <c r="D74" s="4" t="s">
        <v>916</v>
      </c>
      <c r="E74" s="4">
        <v>50749</v>
      </c>
      <c r="F74" t="s">
        <v>916</v>
      </c>
      <c r="K74" s="22"/>
      <c r="N74" s="61" t="s">
        <v>795</v>
      </c>
      <c r="O74" s="4">
        <v>43518</v>
      </c>
      <c r="P74" s="79" t="e">
        <v>#N/A</v>
      </c>
      <c r="U74" s="79">
        <v>0</v>
      </c>
      <c r="V74" s="84">
        <v>0</v>
      </c>
      <c r="AA74" t="str">
        <f>IF(realTime!AA74="","",realTime!AA74)</f>
        <v/>
      </c>
      <c r="AB74" t="str">
        <f>IF(realTime!AB74="","",realTime!AB74)</f>
        <v/>
      </c>
    </row>
    <row r="75" spans="1:28" x14ac:dyDescent="0.25">
      <c r="A75" t="s">
        <v>943</v>
      </c>
      <c r="B75" t="s">
        <v>117</v>
      </c>
      <c r="C75" s="4" t="s">
        <v>916</v>
      </c>
      <c r="D75" s="4" t="s">
        <v>916</v>
      </c>
      <c r="E75" s="4">
        <v>50749</v>
      </c>
      <c r="F75" t="s">
        <v>916</v>
      </c>
      <c r="K75" s="22"/>
      <c r="N75" s="61" t="s">
        <v>796</v>
      </c>
      <c r="O75" s="4">
        <v>43518</v>
      </c>
      <c r="P75" s="79" t="e">
        <v>#N/A</v>
      </c>
      <c r="U75" s="79">
        <v>0</v>
      </c>
      <c r="V75" s="84">
        <v>0</v>
      </c>
      <c r="AA75" t="str">
        <f>IF(realTime!AA75="","",realTime!AA75)</f>
        <v/>
      </c>
      <c r="AB75" t="str">
        <f>IF(realTime!AB75="","",realTime!AB75)</f>
        <v/>
      </c>
    </row>
    <row r="76" spans="1:28" x14ac:dyDescent="0.25">
      <c r="A76" t="s">
        <v>944</v>
      </c>
      <c r="B76" t="s">
        <v>118</v>
      </c>
      <c r="C76" s="4" t="s">
        <v>916</v>
      </c>
      <c r="D76" s="4" t="s">
        <v>916</v>
      </c>
      <c r="E76" s="4">
        <v>50749</v>
      </c>
      <c r="F76" t="s">
        <v>916</v>
      </c>
      <c r="K76" s="22"/>
      <c r="N76" s="61" t="s">
        <v>797</v>
      </c>
      <c r="O76" s="4">
        <v>43518</v>
      </c>
      <c r="P76" s="79" t="e">
        <v>#N/A</v>
      </c>
      <c r="U76" s="79">
        <v>0</v>
      </c>
      <c r="V76" s="84">
        <v>0</v>
      </c>
      <c r="AA76" t="str">
        <f>IF(realTime!AA76="","",realTime!AA76)</f>
        <v/>
      </c>
      <c r="AB76" t="str">
        <f>IF(realTime!AB76="","",realTime!AB76)</f>
        <v/>
      </c>
    </row>
    <row r="77" spans="1:28" x14ac:dyDescent="0.25">
      <c r="A77" t="s">
        <v>945</v>
      </c>
      <c r="B77" t="s">
        <v>119</v>
      </c>
      <c r="C77" s="4" t="s">
        <v>916</v>
      </c>
      <c r="D77" s="4" t="s">
        <v>916</v>
      </c>
      <c r="E77" s="4">
        <v>50749</v>
      </c>
      <c r="F77" t="s">
        <v>916</v>
      </c>
      <c r="K77" s="22"/>
      <c r="N77" s="61" t="s">
        <v>798</v>
      </c>
      <c r="O77" s="4">
        <v>43518</v>
      </c>
      <c r="P77" s="79" t="e">
        <v>#N/A</v>
      </c>
      <c r="U77" s="79">
        <v>0</v>
      </c>
      <c r="V77" s="84">
        <v>0</v>
      </c>
      <c r="AA77" t="str">
        <f>IF(realTime!AA77="","",realTime!AA77)</f>
        <v/>
      </c>
      <c r="AB77" t="str">
        <f>IF(realTime!AB77="","",realTime!AB77)</f>
        <v/>
      </c>
    </row>
    <row r="78" spans="1:28" x14ac:dyDescent="0.25">
      <c r="A78" t="s">
        <v>946</v>
      </c>
      <c r="B78" t="s">
        <v>120</v>
      </c>
      <c r="C78" s="4" t="s">
        <v>916</v>
      </c>
      <c r="D78" s="4" t="s">
        <v>916</v>
      </c>
      <c r="E78" s="4">
        <v>50749</v>
      </c>
      <c r="F78" t="s">
        <v>916</v>
      </c>
      <c r="K78" s="22"/>
      <c r="N78" s="61" t="s">
        <v>799</v>
      </c>
      <c r="O78" s="4">
        <v>43518</v>
      </c>
      <c r="P78" s="79" t="e">
        <v>#N/A</v>
      </c>
      <c r="U78" s="79">
        <v>0</v>
      </c>
      <c r="V78" s="84">
        <v>0</v>
      </c>
      <c r="AA78" t="str">
        <f>IF(realTime!AA78="","",realTime!AA78)</f>
        <v/>
      </c>
      <c r="AB78" t="str">
        <f>IF(realTime!AB78="","",realTime!AB78)</f>
        <v/>
      </c>
    </row>
    <row r="79" spans="1:28" x14ac:dyDescent="0.25">
      <c r="A79" t="s">
        <v>947</v>
      </c>
      <c r="B79" t="s">
        <v>121</v>
      </c>
      <c r="C79" s="4" t="s">
        <v>916</v>
      </c>
      <c r="D79" s="4" t="s">
        <v>916</v>
      </c>
      <c r="E79" s="4">
        <v>50749</v>
      </c>
      <c r="F79" t="s">
        <v>916</v>
      </c>
      <c r="K79" s="22"/>
      <c r="N79" s="61" t="s">
        <v>800</v>
      </c>
      <c r="O79" s="4">
        <v>43518</v>
      </c>
      <c r="P79" s="79" t="e">
        <v>#N/A</v>
      </c>
      <c r="U79" s="79">
        <v>0</v>
      </c>
      <c r="V79" s="84">
        <v>0</v>
      </c>
      <c r="AA79" t="str">
        <f>IF(realTime!AA79="","",realTime!AA79)</f>
        <v/>
      </c>
      <c r="AB79" t="str">
        <f>IF(realTime!AB79="","",realTime!AB79)</f>
        <v/>
      </c>
    </row>
    <row r="80" spans="1:28" x14ac:dyDescent="0.25">
      <c r="A80" t="s">
        <v>948</v>
      </c>
      <c r="B80" t="s">
        <v>122</v>
      </c>
      <c r="C80" s="4" t="s">
        <v>916</v>
      </c>
      <c r="D80" s="4" t="s">
        <v>916</v>
      </c>
      <c r="E80" s="4">
        <v>50749</v>
      </c>
      <c r="F80" t="s">
        <v>916</v>
      </c>
      <c r="K80" s="22"/>
      <c r="N80" s="61" t="s">
        <v>801</v>
      </c>
      <c r="O80" s="4">
        <v>43518</v>
      </c>
      <c r="P80" s="79" t="e">
        <v>#N/A</v>
      </c>
      <c r="U80" s="79">
        <v>0</v>
      </c>
      <c r="V80" s="84">
        <v>0</v>
      </c>
      <c r="AA80" t="str">
        <f>IF(realTime!AA80="","",realTime!AA80)</f>
        <v/>
      </c>
      <c r="AB80" t="str">
        <f>IF(realTime!AB80="","",realTime!AB80)</f>
        <v/>
      </c>
    </row>
    <row r="81" spans="1:28" x14ac:dyDescent="0.25">
      <c r="A81" t="s">
        <v>949</v>
      </c>
      <c r="B81" t="s">
        <v>123</v>
      </c>
      <c r="C81" s="4" t="s">
        <v>916</v>
      </c>
      <c r="D81" s="4" t="s">
        <v>916</v>
      </c>
      <c r="E81" s="4">
        <v>50749</v>
      </c>
      <c r="F81" t="s">
        <v>916</v>
      </c>
      <c r="K81" s="22"/>
      <c r="N81" s="61" t="s">
        <v>802</v>
      </c>
      <c r="O81" s="4">
        <v>43518</v>
      </c>
      <c r="P81" s="79" t="e">
        <v>#N/A</v>
      </c>
      <c r="U81" s="79">
        <v>0</v>
      </c>
      <c r="V81" s="84">
        <v>0</v>
      </c>
      <c r="AA81" t="str">
        <f>IF(realTime!AA81="","",realTime!AA81)</f>
        <v/>
      </c>
      <c r="AB81" t="str">
        <f>IF(realTime!AB81="","",realTime!AB81)</f>
        <v/>
      </c>
    </row>
    <row r="82" spans="1:28" x14ac:dyDescent="0.25">
      <c r="A82" t="s">
        <v>950</v>
      </c>
      <c r="B82" t="s">
        <v>124</v>
      </c>
      <c r="C82" s="4" t="s">
        <v>916</v>
      </c>
      <c r="D82" s="4" t="s">
        <v>916</v>
      </c>
      <c r="E82" s="4">
        <v>50749</v>
      </c>
      <c r="F82" t="s">
        <v>916</v>
      </c>
      <c r="K82" s="22"/>
      <c r="N82" s="61" t="s">
        <v>803</v>
      </c>
      <c r="O82" s="4">
        <v>43518</v>
      </c>
      <c r="P82" s="79" t="e">
        <v>#N/A</v>
      </c>
      <c r="U82" s="79">
        <v>0</v>
      </c>
      <c r="V82" s="84">
        <v>0</v>
      </c>
      <c r="AA82" t="str">
        <f>IF(realTime!AA82="","",realTime!AA82)</f>
        <v/>
      </c>
      <c r="AB82" t="str">
        <f>IF(realTime!AB82="","",realTime!AB82)</f>
        <v/>
      </c>
    </row>
    <row r="83" spans="1:28" x14ac:dyDescent="0.25">
      <c r="A83" t="s">
        <v>951</v>
      </c>
      <c r="B83" t="s">
        <v>125</v>
      </c>
      <c r="C83" s="4" t="s">
        <v>916</v>
      </c>
      <c r="D83" s="4" t="s">
        <v>916</v>
      </c>
      <c r="E83" s="4">
        <v>50749</v>
      </c>
      <c r="F83" t="s">
        <v>916</v>
      </c>
      <c r="K83" s="22"/>
      <c r="N83" s="61" t="s">
        <v>804</v>
      </c>
      <c r="O83" s="4">
        <v>43518</v>
      </c>
      <c r="P83" s="79" t="e">
        <v>#N/A</v>
      </c>
      <c r="U83" s="79">
        <v>0</v>
      </c>
      <c r="V83" s="84">
        <v>0</v>
      </c>
      <c r="AA83" t="str">
        <f>IF(realTime!AA83="","",realTime!AA83)</f>
        <v/>
      </c>
      <c r="AB83" t="str">
        <f>IF(realTime!AB83="","",realTime!AB83)</f>
        <v/>
      </c>
    </row>
    <row r="84" spans="1:28" x14ac:dyDescent="0.25">
      <c r="A84" t="s">
        <v>952</v>
      </c>
      <c r="B84" t="s">
        <v>126</v>
      </c>
      <c r="C84" s="4" t="s">
        <v>916</v>
      </c>
      <c r="D84" s="4" t="s">
        <v>916</v>
      </c>
      <c r="E84" s="4">
        <v>50749</v>
      </c>
      <c r="F84" t="s">
        <v>916</v>
      </c>
      <c r="K84" s="22"/>
      <c r="N84" s="61" t="s">
        <v>805</v>
      </c>
      <c r="O84" s="4">
        <v>43518</v>
      </c>
      <c r="P84" s="79" t="e">
        <v>#N/A</v>
      </c>
      <c r="U84" s="4" t="e">
        <v>#N/A</v>
      </c>
      <c r="V84" s="84" t="e">
        <v>#N/A</v>
      </c>
      <c r="AA84" t="str">
        <f>IF(realTime!AA84="","",realTime!AA84)</f>
        <v/>
      </c>
      <c r="AB84" t="str">
        <f>IF(realTime!AB84="","",realTime!AB84)</f>
        <v/>
      </c>
    </row>
    <row r="85" spans="1:28" x14ac:dyDescent="0.25">
      <c r="A85" t="s">
        <v>953</v>
      </c>
      <c r="B85" t="s">
        <v>127</v>
      </c>
      <c r="C85" s="4" t="s">
        <v>916</v>
      </c>
      <c r="D85" s="4" t="s">
        <v>916</v>
      </c>
      <c r="E85" s="4">
        <v>50749</v>
      </c>
      <c r="F85" t="s">
        <v>916</v>
      </c>
      <c r="K85" s="22"/>
      <c r="N85" s="61" t="s">
        <v>806</v>
      </c>
      <c r="O85" s="4">
        <v>43518</v>
      </c>
      <c r="P85" s="79" t="e">
        <v>#N/A</v>
      </c>
      <c r="U85" s="4" t="e">
        <v>#N/A</v>
      </c>
      <c r="V85" s="84" t="e">
        <v>#N/A</v>
      </c>
      <c r="AA85" t="str">
        <f>IF(realTime!AA85="","",realTime!AA85)</f>
        <v/>
      </c>
      <c r="AB85" t="str">
        <f>IF(realTime!AB85="","",realTime!AB85)</f>
        <v/>
      </c>
    </row>
    <row r="86" spans="1:28" x14ac:dyDescent="0.25">
      <c r="A86" t="s">
        <v>954</v>
      </c>
      <c r="B86" t="s">
        <v>128</v>
      </c>
      <c r="C86" s="4" t="s">
        <v>916</v>
      </c>
      <c r="D86" s="4" t="s">
        <v>916</v>
      </c>
      <c r="E86" s="4">
        <v>50749</v>
      </c>
      <c r="F86" t="s">
        <v>916</v>
      </c>
      <c r="K86" s="22"/>
      <c r="N86" s="61" t="s">
        <v>807</v>
      </c>
      <c r="O86" s="4">
        <v>43518</v>
      </c>
      <c r="P86" s="79" t="e">
        <v>#N/A</v>
      </c>
      <c r="U86" s="4" t="e">
        <v>#N/A</v>
      </c>
      <c r="V86" s="84" t="e">
        <v>#N/A</v>
      </c>
      <c r="AA86" t="str">
        <f>IF(realTime!AA86="","",realTime!AA86)</f>
        <v/>
      </c>
      <c r="AB86" t="str">
        <f>IF(realTime!AB86="","",realTime!AB86)</f>
        <v/>
      </c>
    </row>
    <row r="87" spans="1:28" x14ac:dyDescent="0.25">
      <c r="A87" t="s">
        <v>955</v>
      </c>
      <c r="B87" t="s">
        <v>129</v>
      </c>
      <c r="C87" s="4">
        <v>43440</v>
      </c>
      <c r="D87" s="4">
        <v>50749</v>
      </c>
      <c r="E87" s="4">
        <v>52575</v>
      </c>
      <c r="F87">
        <v>0.75664590700000001</v>
      </c>
      <c r="K87" s="22"/>
      <c r="N87" s="61" t="s">
        <v>808</v>
      </c>
      <c r="O87" s="4">
        <v>43518</v>
      </c>
      <c r="P87" s="79" t="e">
        <v>#N/A</v>
      </c>
      <c r="U87" s="4" t="e">
        <v>#N/A</v>
      </c>
      <c r="V87" s="84" t="e">
        <v>#N/A</v>
      </c>
      <c r="AA87" t="str">
        <f>IF(realTime!AA87="","",realTime!AA87)</f>
        <v/>
      </c>
      <c r="AB87" t="str">
        <f>IF(realTime!AB87="","",realTime!AB87)</f>
        <v/>
      </c>
    </row>
    <row r="88" spans="1:28" x14ac:dyDescent="0.25">
      <c r="A88" t="s">
        <v>956</v>
      </c>
      <c r="B88" t="s">
        <v>130</v>
      </c>
      <c r="C88" s="4" t="s">
        <v>916</v>
      </c>
      <c r="D88" s="4" t="s">
        <v>916</v>
      </c>
      <c r="E88" s="4">
        <v>52575</v>
      </c>
      <c r="F88" t="s">
        <v>916</v>
      </c>
      <c r="K88" s="22"/>
      <c r="N88" s="61" t="s">
        <v>809</v>
      </c>
      <c r="O88" s="4">
        <v>43518</v>
      </c>
      <c r="P88" s="79" t="e">
        <v>#N/A</v>
      </c>
      <c r="U88" s="4" t="e">
        <v>#N/A</v>
      </c>
      <c r="V88" s="84" t="e">
        <v>#N/A</v>
      </c>
      <c r="AA88" t="str">
        <f>IF(realTime!AA88="","",realTime!AA88)</f>
        <v/>
      </c>
      <c r="AB88" t="str">
        <f>IF(realTime!AB88="","",realTime!AB88)</f>
        <v/>
      </c>
    </row>
    <row r="89" spans="1:28" x14ac:dyDescent="0.25">
      <c r="A89" t="s">
        <v>957</v>
      </c>
      <c r="B89" t="s">
        <v>131</v>
      </c>
      <c r="C89" s="4" t="s">
        <v>916</v>
      </c>
      <c r="D89" s="4" t="s">
        <v>916</v>
      </c>
      <c r="E89" s="4">
        <v>52575</v>
      </c>
      <c r="F89" t="s">
        <v>916</v>
      </c>
      <c r="K89" s="22"/>
      <c r="N89" s="61" t="s">
        <v>810</v>
      </c>
      <c r="O89" s="4">
        <v>43518</v>
      </c>
      <c r="P89" s="79" t="e">
        <v>#N/A</v>
      </c>
      <c r="U89" s="4" t="e">
        <v>#N/A</v>
      </c>
      <c r="V89" s="84" t="e">
        <v>#N/A</v>
      </c>
      <c r="AA89" t="str">
        <f>IF(realTime!AA89="","",realTime!AA89)</f>
        <v/>
      </c>
      <c r="AB89" t="str">
        <f>IF(realTime!AB89="","",realTime!AB89)</f>
        <v/>
      </c>
    </row>
    <row r="90" spans="1:28" x14ac:dyDescent="0.25">
      <c r="A90" t="s">
        <v>958</v>
      </c>
      <c r="B90" t="s">
        <v>132</v>
      </c>
      <c r="C90" s="4" t="s">
        <v>916</v>
      </c>
      <c r="D90" s="4" t="s">
        <v>916</v>
      </c>
      <c r="E90" s="4">
        <v>52575</v>
      </c>
      <c r="F90" t="s">
        <v>916</v>
      </c>
      <c r="K90" s="22"/>
      <c r="N90" s="61" t="s">
        <v>811</v>
      </c>
      <c r="O90" s="4">
        <v>43518</v>
      </c>
      <c r="P90" s="79" t="e">
        <v>#N/A</v>
      </c>
      <c r="U90" s="4" t="e">
        <v>#N/A</v>
      </c>
      <c r="V90" s="84" t="e">
        <v>#N/A</v>
      </c>
      <c r="AA90" t="str">
        <f>IF(realTime!AA90="","",realTime!AA90)</f>
        <v/>
      </c>
      <c r="AB90" t="str">
        <f>IF(realTime!AB90="","",realTime!AB90)</f>
        <v/>
      </c>
    </row>
    <row r="91" spans="1:28" x14ac:dyDescent="0.25">
      <c r="A91" t="s">
        <v>959</v>
      </c>
      <c r="B91" t="s">
        <v>133</v>
      </c>
      <c r="C91" s="4" t="s">
        <v>916</v>
      </c>
      <c r="D91" s="4" t="s">
        <v>916</v>
      </c>
      <c r="E91" s="4">
        <v>52575</v>
      </c>
      <c r="F91" t="s">
        <v>916</v>
      </c>
      <c r="K91" s="22"/>
      <c r="N91" s="61" t="s">
        <v>812</v>
      </c>
      <c r="O91" s="4">
        <v>43518</v>
      </c>
      <c r="P91" s="79" t="e">
        <v>#N/A</v>
      </c>
      <c r="U91" s="4" t="e">
        <v>#N/A</v>
      </c>
      <c r="V91" s="84" t="e">
        <v>#N/A</v>
      </c>
      <c r="AA91" t="str">
        <f>IF(realTime!AA91="","",realTime!AA91)</f>
        <v/>
      </c>
      <c r="AB91" t="str">
        <f>IF(realTime!AB91="","",realTime!AB91)</f>
        <v/>
      </c>
    </row>
    <row r="92" spans="1:28" x14ac:dyDescent="0.25">
      <c r="A92" t="s">
        <v>960</v>
      </c>
      <c r="B92" t="s">
        <v>134</v>
      </c>
      <c r="C92" s="4" t="s">
        <v>916</v>
      </c>
      <c r="D92" s="4" t="s">
        <v>916</v>
      </c>
      <c r="E92" s="4">
        <v>52575</v>
      </c>
      <c r="F92" t="s">
        <v>916</v>
      </c>
      <c r="K92" s="22"/>
      <c r="N92" s="61" t="s">
        <v>813</v>
      </c>
      <c r="O92" s="4">
        <v>43518</v>
      </c>
      <c r="P92" s="79" t="e">
        <v>#N/A</v>
      </c>
      <c r="U92" s="4" t="e">
        <v>#N/A</v>
      </c>
      <c r="V92" s="84" t="e">
        <v>#N/A</v>
      </c>
      <c r="AA92" t="str">
        <f>IF(realTime!AA92="","",realTime!AA92)</f>
        <v/>
      </c>
      <c r="AB92" t="str">
        <f>IF(realTime!AB92="","",realTime!AB92)</f>
        <v/>
      </c>
    </row>
    <row r="93" spans="1:28" x14ac:dyDescent="0.25">
      <c r="A93" t="s">
        <v>961</v>
      </c>
      <c r="B93" t="s">
        <v>135</v>
      </c>
      <c r="C93" s="4" t="s">
        <v>916</v>
      </c>
      <c r="D93" s="4" t="s">
        <v>916</v>
      </c>
      <c r="E93" s="4">
        <v>52575</v>
      </c>
      <c r="F93" t="s">
        <v>916</v>
      </c>
      <c r="K93" s="22"/>
      <c r="N93" s="61" t="s">
        <v>814</v>
      </c>
      <c r="O93" s="4">
        <v>43518</v>
      </c>
      <c r="P93" s="79" t="e">
        <v>#N/A</v>
      </c>
      <c r="U93" s="4" t="e">
        <v>#N/A</v>
      </c>
      <c r="V93" s="84" t="e">
        <v>#N/A</v>
      </c>
      <c r="AA93" t="str">
        <f>IF(realTime!AA93="","",realTime!AA93)</f>
        <v/>
      </c>
      <c r="AB93" t="str">
        <f>IF(realTime!AB93="","",realTime!AB93)</f>
        <v/>
      </c>
    </row>
    <row r="94" spans="1:28" x14ac:dyDescent="0.25">
      <c r="A94" t="s">
        <v>962</v>
      </c>
      <c r="B94" t="s">
        <v>136</v>
      </c>
      <c r="C94" s="4" t="s">
        <v>916</v>
      </c>
      <c r="D94" s="4" t="s">
        <v>916</v>
      </c>
      <c r="E94" s="4">
        <v>52575</v>
      </c>
      <c r="F94" t="s">
        <v>916</v>
      </c>
      <c r="K94" s="22"/>
      <c r="N94" s="61" t="s">
        <v>815</v>
      </c>
      <c r="O94" s="4">
        <v>43518</v>
      </c>
      <c r="P94" s="79" t="e">
        <v>#N/A</v>
      </c>
      <c r="U94" s="4" t="e">
        <v>#N/A</v>
      </c>
      <c r="V94" s="84" t="e">
        <v>#N/A</v>
      </c>
      <c r="AA94" t="str">
        <f>IF(realTime!AA94="","",realTime!AA94)</f>
        <v/>
      </c>
      <c r="AB94" t="str">
        <f>IF(realTime!AB94="","",realTime!AB94)</f>
        <v/>
      </c>
    </row>
    <row r="95" spans="1:28" x14ac:dyDescent="0.25">
      <c r="A95" t="s">
        <v>963</v>
      </c>
      <c r="B95" t="s">
        <v>137</v>
      </c>
      <c r="C95" s="4" t="s">
        <v>916</v>
      </c>
      <c r="D95" s="4" t="s">
        <v>916</v>
      </c>
      <c r="E95" s="4">
        <v>52575</v>
      </c>
      <c r="F95" t="s">
        <v>916</v>
      </c>
      <c r="K95" s="22"/>
      <c r="N95" s="61" t="s">
        <v>816</v>
      </c>
      <c r="O95" s="4">
        <v>43518</v>
      </c>
      <c r="P95" s="79" t="e">
        <v>#N/A</v>
      </c>
      <c r="U95" s="4" t="e">
        <v>#N/A</v>
      </c>
      <c r="V95" s="84" t="e">
        <v>#N/A</v>
      </c>
      <c r="AA95" t="str">
        <f>IF(realTime!AA95="","",realTime!AA95)</f>
        <v/>
      </c>
      <c r="AB95" t="str">
        <f>IF(realTime!AB95="","",realTime!AB95)</f>
        <v/>
      </c>
    </row>
    <row r="96" spans="1:28" x14ac:dyDescent="0.25">
      <c r="A96" t="s">
        <v>964</v>
      </c>
      <c r="B96" t="s">
        <v>138</v>
      </c>
      <c r="C96" s="4" t="s">
        <v>916</v>
      </c>
      <c r="D96" s="4" t="s">
        <v>916</v>
      </c>
      <c r="E96" s="4">
        <v>52575</v>
      </c>
      <c r="F96" t="s">
        <v>916</v>
      </c>
      <c r="K96" s="22"/>
      <c r="N96" s="61" t="s">
        <v>817</v>
      </c>
      <c r="O96" s="4">
        <v>43518</v>
      </c>
      <c r="P96" s="79" t="e">
        <v>#N/A</v>
      </c>
      <c r="U96" s="4" t="e">
        <v>#N/A</v>
      </c>
      <c r="V96" s="84" t="e">
        <v>#N/A</v>
      </c>
      <c r="AA96" t="str">
        <f>IF(realTime!AA96="","",realTime!AA96)</f>
        <v/>
      </c>
      <c r="AB96" t="str">
        <f>IF(realTime!AB96="","",realTime!AB96)</f>
        <v/>
      </c>
    </row>
    <row r="97" spans="1:28" x14ac:dyDescent="0.25">
      <c r="A97" t="s">
        <v>965</v>
      </c>
      <c r="B97" t="s">
        <v>139</v>
      </c>
      <c r="C97" s="4" t="s">
        <v>916</v>
      </c>
      <c r="D97" s="4" t="s">
        <v>916</v>
      </c>
      <c r="E97" s="4">
        <v>52575</v>
      </c>
      <c r="F97" t="s">
        <v>916</v>
      </c>
      <c r="K97" s="22"/>
      <c r="N97" s="61" t="s">
        <v>818</v>
      </c>
      <c r="O97" s="4">
        <v>43518</v>
      </c>
      <c r="P97" s="79" t="e">
        <v>#N/A</v>
      </c>
      <c r="U97" s="4" t="e">
        <v>#N/A</v>
      </c>
      <c r="V97" s="84" t="e">
        <v>#N/A</v>
      </c>
      <c r="AA97" t="str">
        <f>IF(realTime!AA97="","",realTime!AA97)</f>
        <v/>
      </c>
      <c r="AB97" t="str">
        <f>IF(realTime!AB97="","",realTime!AB97)</f>
        <v/>
      </c>
    </row>
    <row r="98" spans="1:28" x14ac:dyDescent="0.25">
      <c r="A98" t="s">
        <v>966</v>
      </c>
      <c r="B98" t="s">
        <v>140</v>
      </c>
      <c r="C98" s="4" t="s">
        <v>916</v>
      </c>
      <c r="D98" s="4" t="s">
        <v>916</v>
      </c>
      <c r="E98" s="4">
        <v>52575</v>
      </c>
      <c r="F98" t="s">
        <v>916</v>
      </c>
      <c r="K98" s="22"/>
      <c r="N98" s="61" t="s">
        <v>819</v>
      </c>
      <c r="O98" s="4">
        <v>43518</v>
      </c>
      <c r="P98" s="79" t="e">
        <v>#N/A</v>
      </c>
      <c r="U98" s="4" t="e">
        <v>#N/A</v>
      </c>
      <c r="V98" s="84" t="e">
        <v>#N/A</v>
      </c>
      <c r="AA98" t="str">
        <f>IF(realTime!AA98="","",realTime!AA98)</f>
        <v/>
      </c>
      <c r="AB98" t="str">
        <f>IF(realTime!AB98="","",realTime!AB98)</f>
        <v/>
      </c>
    </row>
    <row r="99" spans="1:28" x14ac:dyDescent="0.25">
      <c r="A99" t="s">
        <v>967</v>
      </c>
      <c r="B99" t="s">
        <v>141</v>
      </c>
      <c r="C99" s="4" t="s">
        <v>916</v>
      </c>
      <c r="D99" s="4" t="s">
        <v>916</v>
      </c>
      <c r="E99" s="4">
        <v>52575</v>
      </c>
      <c r="F99" t="s">
        <v>916</v>
      </c>
      <c r="K99" s="22"/>
      <c r="N99" s="61" t="s">
        <v>820</v>
      </c>
      <c r="O99" s="4">
        <v>43518</v>
      </c>
      <c r="P99" s="79" t="e">
        <v>#N/A</v>
      </c>
      <c r="U99" s="4" t="e">
        <v>#N/A</v>
      </c>
      <c r="V99" s="84" t="e">
        <v>#N/A</v>
      </c>
      <c r="AA99" t="str">
        <f>IF(realTime!AA99="","",realTime!AA99)</f>
        <v/>
      </c>
      <c r="AB99" t="str">
        <f>IF(realTime!AB99="","",realTime!AB99)</f>
        <v/>
      </c>
    </row>
    <row r="100" spans="1:28" x14ac:dyDescent="0.25">
      <c r="A100" t="s">
        <v>968</v>
      </c>
      <c r="B100" t="s">
        <v>142</v>
      </c>
      <c r="C100" s="4" t="s">
        <v>916</v>
      </c>
      <c r="D100" s="4" t="s">
        <v>916</v>
      </c>
      <c r="E100" s="4">
        <v>52575</v>
      </c>
      <c r="F100" t="s">
        <v>916</v>
      </c>
      <c r="K100" s="22"/>
      <c r="N100" s="61"/>
      <c r="O100" s="4">
        <v>43518</v>
      </c>
      <c r="P100" s="79" t="e">
        <v>#N/A</v>
      </c>
      <c r="U100" s="4"/>
      <c r="V100" s="84"/>
      <c r="AA100" t="str">
        <f>IF(realTime!AA100="","",realTime!AA100)</f>
        <v/>
      </c>
      <c r="AB100" t="str">
        <f>IF(realTime!AB100="","",realTime!AB100)</f>
        <v/>
      </c>
    </row>
    <row r="101" spans="1:28" x14ac:dyDescent="0.25">
      <c r="A101" t="s">
        <v>969</v>
      </c>
      <c r="B101" t="s">
        <v>143</v>
      </c>
      <c r="C101" s="4" t="s">
        <v>916</v>
      </c>
      <c r="D101" s="4" t="s">
        <v>916</v>
      </c>
      <c r="E101" s="4">
        <v>52575</v>
      </c>
      <c r="F101" t="s">
        <v>916</v>
      </c>
      <c r="K101" s="22"/>
      <c r="N101" s="61"/>
      <c r="O101" s="4">
        <v>43518</v>
      </c>
      <c r="P101" s="79" t="e">
        <v>#N/A</v>
      </c>
      <c r="U101" s="4"/>
      <c r="V101" s="84"/>
      <c r="AA101" t="str">
        <f>IF(realTime!AA101="","",realTime!AA101)</f>
        <v/>
      </c>
      <c r="AB101" t="str">
        <f>IF(realTime!AB101="","",realTime!AB101)</f>
        <v/>
      </c>
    </row>
    <row r="102" spans="1:28" x14ac:dyDescent="0.25">
      <c r="A102" t="s">
        <v>970</v>
      </c>
      <c r="B102" t="s">
        <v>144</v>
      </c>
      <c r="C102" s="4" t="s">
        <v>916</v>
      </c>
      <c r="D102" s="4" t="s">
        <v>916</v>
      </c>
      <c r="E102" s="4">
        <v>52575</v>
      </c>
      <c r="F102" t="s">
        <v>916</v>
      </c>
      <c r="K102" s="22"/>
      <c r="N102" s="61"/>
      <c r="O102" s="4">
        <v>43518</v>
      </c>
      <c r="P102" s="79" t="e">
        <v>#N/A</v>
      </c>
      <c r="U102" s="4"/>
      <c r="V102" s="84"/>
      <c r="AA102" t="str">
        <f>IF(realTime!AA102="","",realTime!AA102)</f>
        <v/>
      </c>
      <c r="AB102" t="str">
        <f>IF(realTime!AB102="","",realTime!AB102)</f>
        <v/>
      </c>
    </row>
    <row r="103" spans="1:28" x14ac:dyDescent="0.25">
      <c r="A103" t="s">
        <v>971</v>
      </c>
      <c r="B103" t="s">
        <v>145</v>
      </c>
      <c r="C103" s="4" t="s">
        <v>916</v>
      </c>
      <c r="D103" s="4" t="s">
        <v>916</v>
      </c>
      <c r="E103" s="4">
        <v>52575</v>
      </c>
      <c r="F103" t="s">
        <v>916</v>
      </c>
      <c r="K103" s="22"/>
      <c r="N103" s="61"/>
      <c r="O103" s="4">
        <v>43518</v>
      </c>
      <c r="P103" s="79" t="e">
        <v>#N/A</v>
      </c>
      <c r="U103" s="4"/>
      <c r="V103" s="84"/>
      <c r="AA103" t="str">
        <f>IF(realTime!AA103="","",realTime!AA103)</f>
        <v/>
      </c>
      <c r="AB103" t="str">
        <f>IF(realTime!AB103="","",realTime!AB103)</f>
        <v/>
      </c>
    </row>
    <row r="104" spans="1:28" x14ac:dyDescent="0.25">
      <c r="A104" t="s">
        <v>972</v>
      </c>
      <c r="B104" t="s">
        <v>146</v>
      </c>
      <c r="C104" s="4" t="s">
        <v>916</v>
      </c>
      <c r="D104" s="4" t="s">
        <v>916</v>
      </c>
      <c r="E104" s="4">
        <v>52575</v>
      </c>
      <c r="F104" t="s">
        <v>916</v>
      </c>
      <c r="K104" s="22"/>
      <c r="N104" s="61"/>
      <c r="O104" s="4">
        <v>43518</v>
      </c>
      <c r="P104" s="79" t="e">
        <v>#N/A</v>
      </c>
      <c r="U104" s="4"/>
      <c r="V104" s="84"/>
      <c r="AA104" t="str">
        <f>IF(realTime!AA104="","",realTime!AA104)</f>
        <v/>
      </c>
      <c r="AB104" t="str">
        <f>IF(realTime!AB104="","",realTime!AB104)</f>
        <v/>
      </c>
    </row>
    <row r="105" spans="1:28" x14ac:dyDescent="0.25">
      <c r="A105" t="s">
        <v>973</v>
      </c>
      <c r="B105" t="s">
        <v>147</v>
      </c>
      <c r="C105" s="4" t="s">
        <v>916</v>
      </c>
      <c r="D105" s="4" t="s">
        <v>916</v>
      </c>
      <c r="E105" s="4">
        <v>52575</v>
      </c>
      <c r="F105" t="s">
        <v>916</v>
      </c>
      <c r="K105" s="22"/>
      <c r="N105" s="61"/>
      <c r="O105" s="4">
        <v>43518</v>
      </c>
      <c r="P105" s="79" t="e">
        <v>#N/A</v>
      </c>
      <c r="U105" s="4" t="s">
        <v>148</v>
      </c>
      <c r="V105" s="84"/>
      <c r="AA105" t="str">
        <f>IF(realTime!AA105="","",realTime!AA105)</f>
        <v/>
      </c>
      <c r="AB105" t="str">
        <f>IF(realTime!AB105="","",realTime!AB105)</f>
        <v/>
      </c>
    </row>
    <row r="106" spans="1:28" x14ac:dyDescent="0.25">
      <c r="A106" t="s">
        <v>974</v>
      </c>
      <c r="B106" t="s">
        <v>149</v>
      </c>
      <c r="C106" s="4" t="s">
        <v>916</v>
      </c>
      <c r="D106" s="4" t="s">
        <v>916</v>
      </c>
      <c r="E106" s="4">
        <v>52575</v>
      </c>
      <c r="F106" t="s">
        <v>916</v>
      </c>
      <c r="K106" s="22"/>
      <c r="N106" s="61"/>
      <c r="O106" s="4">
        <v>43518</v>
      </c>
      <c r="P106" s="79" t="e">
        <v>#N/A</v>
      </c>
      <c r="R106" s="29"/>
      <c r="U106" s="4" t="s">
        <v>1003</v>
      </c>
      <c r="V106" s="84"/>
      <c r="AA106" t="str">
        <f>IF(realTime!AA106="","",realTime!AA106)</f>
        <v/>
      </c>
      <c r="AB106" t="str">
        <f>IF(realTime!AB106="","",realTime!AB106)</f>
        <v/>
      </c>
    </row>
    <row r="107" spans="1:28" x14ac:dyDescent="0.25">
      <c r="A107" t="s">
        <v>975</v>
      </c>
      <c r="B107" t="s">
        <v>150</v>
      </c>
      <c r="C107" s="4">
        <v>43440</v>
      </c>
      <c r="D107" s="4">
        <v>52575</v>
      </c>
      <c r="E107" s="4">
        <v>54402</v>
      </c>
      <c r="F107">
        <v>0.69756883800000002</v>
      </c>
      <c r="K107" s="22"/>
      <c r="N107" s="61"/>
      <c r="O107" s="4">
        <v>43518</v>
      </c>
      <c r="P107" s="79" t="e">
        <v>#N/A</v>
      </c>
      <c r="R107" s="22"/>
      <c r="S107" s="22"/>
      <c r="U107" s="4"/>
      <c r="V107" s="84" t="s">
        <v>615</v>
      </c>
      <c r="AA107" t="str">
        <f>IF(realTime!AA107="","",realTime!AA107)</f>
        <v/>
      </c>
      <c r="AB107" t="str">
        <f>IF(realTime!AB107="","",realTime!AB107)</f>
        <v/>
      </c>
    </row>
    <row r="108" spans="1:28" x14ac:dyDescent="0.25">
      <c r="A108" t="s">
        <v>976</v>
      </c>
      <c r="B108" t="s">
        <v>151</v>
      </c>
      <c r="C108" s="4" t="s">
        <v>916</v>
      </c>
      <c r="D108" s="4" t="s">
        <v>916</v>
      </c>
      <c r="E108" s="4">
        <v>54402</v>
      </c>
      <c r="F108" t="s">
        <v>916</v>
      </c>
      <c r="K108" s="22"/>
      <c r="N108" s="61"/>
      <c r="O108" s="4">
        <v>43518</v>
      </c>
      <c r="P108" s="79" t="e">
        <v>#N/A</v>
      </c>
      <c r="S108" s="22"/>
      <c r="U108" s="4" t="s">
        <v>717</v>
      </c>
      <c r="V108" s="84" t="e">
        <v>#N/A</v>
      </c>
      <c r="AA108" t="str">
        <f>IF(realTime!AA108="","",realTime!AA108)</f>
        <v/>
      </c>
      <c r="AB108" t="str">
        <f>IF(realTime!AB108="","",realTime!AB108)</f>
        <v/>
      </c>
    </row>
    <row r="109" spans="1:28" x14ac:dyDescent="0.25">
      <c r="A109" t="s">
        <v>977</v>
      </c>
      <c r="B109" t="s">
        <v>152</v>
      </c>
      <c r="C109" s="4" t="s">
        <v>916</v>
      </c>
      <c r="D109" s="4" t="s">
        <v>916</v>
      </c>
      <c r="E109" s="4">
        <v>54402</v>
      </c>
      <c r="F109" t="s">
        <v>916</v>
      </c>
      <c r="K109" s="22"/>
      <c r="N109" s="61"/>
      <c r="O109" s="4">
        <v>43518</v>
      </c>
      <c r="P109" s="79" t="e">
        <v>#N/A</v>
      </c>
      <c r="S109" s="22"/>
      <c r="U109" s="4" t="s">
        <v>718</v>
      </c>
      <c r="V109" s="84" t="e">
        <v>#N/A</v>
      </c>
      <c r="AA109" t="str">
        <f>IF(realTime!AA109="","",realTime!AA109)</f>
        <v/>
      </c>
      <c r="AB109" t="str">
        <f>IF(realTime!AB109="","",realTime!AB109)</f>
        <v/>
      </c>
    </row>
    <row r="110" spans="1:28" x14ac:dyDescent="0.25">
      <c r="A110" t="s">
        <v>978</v>
      </c>
      <c r="B110" t="s">
        <v>153</v>
      </c>
      <c r="C110" s="4" t="s">
        <v>916</v>
      </c>
      <c r="D110" s="4" t="s">
        <v>916</v>
      </c>
      <c r="E110" s="4">
        <v>54402</v>
      </c>
      <c r="F110" t="s">
        <v>916</v>
      </c>
      <c r="K110" s="22"/>
      <c r="N110" s="61"/>
      <c r="O110" s="4">
        <v>43518</v>
      </c>
      <c r="P110" s="79" t="e">
        <v>#N/A</v>
      </c>
      <c r="S110" s="22"/>
      <c r="U110" s="4" t="s">
        <v>719</v>
      </c>
      <c r="V110" s="84" t="s">
        <v>616</v>
      </c>
      <c r="AA110" t="str">
        <f>IF(realTime!AA110="","",realTime!AA110)</f>
        <v/>
      </c>
      <c r="AB110" t="str">
        <f>IF(realTime!AB110="","",realTime!AB110)</f>
        <v/>
      </c>
    </row>
    <row r="111" spans="1:28" x14ac:dyDescent="0.25">
      <c r="A111" t="s">
        <v>979</v>
      </c>
      <c r="B111" t="s">
        <v>154</v>
      </c>
      <c r="C111" s="4" t="s">
        <v>916</v>
      </c>
      <c r="D111" s="4" t="s">
        <v>916</v>
      </c>
      <c r="E111" s="4">
        <v>54402</v>
      </c>
      <c r="F111" t="s">
        <v>916</v>
      </c>
      <c r="K111" s="22"/>
      <c r="N111" s="61"/>
      <c r="O111" s="4">
        <v>43518</v>
      </c>
      <c r="P111" s="79" t="e">
        <v>#N/A</v>
      </c>
      <c r="S111" s="22"/>
      <c r="U111" s="4" t="s">
        <v>720</v>
      </c>
      <c r="V111" s="84" t="s">
        <v>617</v>
      </c>
      <c r="AA111" t="str">
        <f>IF(realTime!AA111="","",realTime!AA111)</f>
        <v/>
      </c>
      <c r="AB111" t="str">
        <f>IF(realTime!AB111="","",realTime!AB111)</f>
        <v/>
      </c>
    </row>
    <row r="112" spans="1:28" x14ac:dyDescent="0.25">
      <c r="A112" t="s">
        <v>980</v>
      </c>
      <c r="B112" t="s">
        <v>155</v>
      </c>
      <c r="C112" s="4" t="s">
        <v>916</v>
      </c>
      <c r="D112" s="4" t="s">
        <v>916</v>
      </c>
      <c r="E112" s="4">
        <v>54402</v>
      </c>
      <c r="F112" t="s">
        <v>916</v>
      </c>
      <c r="K112" s="22"/>
      <c r="N112" s="61"/>
      <c r="O112" s="4">
        <v>43518</v>
      </c>
      <c r="P112" s="79" t="e">
        <v>#N/A</v>
      </c>
      <c r="S112" s="22"/>
      <c r="U112" s="4" t="s">
        <v>721</v>
      </c>
      <c r="V112" s="84" t="s">
        <v>618</v>
      </c>
      <c r="AA112" t="str">
        <f>IF(realTime!AA112="","",realTime!AA112)</f>
        <v/>
      </c>
      <c r="AB112" t="str">
        <f>IF(realTime!AB112="","",realTime!AB112)</f>
        <v/>
      </c>
    </row>
    <row r="113" spans="1:28" x14ac:dyDescent="0.25">
      <c r="A113" t="s">
        <v>981</v>
      </c>
      <c r="B113" t="s">
        <v>156</v>
      </c>
      <c r="C113" s="4" t="s">
        <v>916</v>
      </c>
      <c r="D113" s="4" t="s">
        <v>916</v>
      </c>
      <c r="E113" s="4">
        <v>54402</v>
      </c>
      <c r="F113" t="s">
        <v>916</v>
      </c>
      <c r="K113" s="22"/>
      <c r="N113" s="61"/>
      <c r="O113" s="4">
        <v>43518</v>
      </c>
      <c r="P113" s="79" t="e">
        <v>#N/A</v>
      </c>
      <c r="S113" s="22"/>
      <c r="U113" s="4" t="s">
        <v>722</v>
      </c>
      <c r="V113" s="84" t="s">
        <v>619</v>
      </c>
      <c r="AA113" t="str">
        <f>IF(realTime!AA113="","",realTime!AA113)</f>
        <v/>
      </c>
      <c r="AB113" t="str">
        <f>IF(realTime!AB113="","",realTime!AB113)</f>
        <v/>
      </c>
    </row>
    <row r="114" spans="1:28" x14ac:dyDescent="0.25">
      <c r="A114" t="s">
        <v>982</v>
      </c>
      <c r="B114" t="s">
        <v>157</v>
      </c>
      <c r="C114" s="4" t="s">
        <v>916</v>
      </c>
      <c r="D114" s="4" t="s">
        <v>916</v>
      </c>
      <c r="E114" s="4">
        <v>54402</v>
      </c>
      <c r="F114" t="s">
        <v>916</v>
      </c>
      <c r="K114" s="22"/>
      <c r="N114" s="61"/>
      <c r="O114" s="4">
        <v>43518</v>
      </c>
      <c r="P114" s="79" t="e">
        <v>#N/A</v>
      </c>
      <c r="S114" s="22"/>
      <c r="U114" s="4" t="s">
        <v>723</v>
      </c>
      <c r="V114" s="84" t="s">
        <v>620</v>
      </c>
      <c r="AA114" t="str">
        <f>IF(realTime!AA114="","",realTime!AA114)</f>
        <v/>
      </c>
      <c r="AB114" t="str">
        <f>IF(realTime!AB114="","",realTime!AB114)</f>
        <v/>
      </c>
    </row>
    <row r="115" spans="1:28" x14ac:dyDescent="0.25">
      <c r="A115" t="s">
        <v>983</v>
      </c>
      <c r="B115" t="s">
        <v>158</v>
      </c>
      <c r="C115" s="4" t="s">
        <v>916</v>
      </c>
      <c r="D115" s="4" t="s">
        <v>916</v>
      </c>
      <c r="E115" s="4">
        <v>54402</v>
      </c>
      <c r="F115" t="s">
        <v>916</v>
      </c>
      <c r="K115" s="22"/>
      <c r="N115" s="61"/>
      <c r="O115" s="4">
        <v>43518</v>
      </c>
      <c r="P115" s="79" t="e">
        <v>#N/A</v>
      </c>
      <c r="S115" s="22"/>
      <c r="U115" s="4" t="s">
        <v>724</v>
      </c>
      <c r="V115" s="84" t="s">
        <v>621</v>
      </c>
      <c r="AA115" t="str">
        <f>IF(realTime!AA115="","",realTime!AA115)</f>
        <v/>
      </c>
      <c r="AB115" t="str">
        <f>IF(realTime!AB115="","",realTime!AB115)</f>
        <v/>
      </c>
    </row>
    <row r="116" spans="1:28" x14ac:dyDescent="0.25">
      <c r="A116" t="s">
        <v>984</v>
      </c>
      <c r="B116" t="s">
        <v>159</v>
      </c>
      <c r="C116" s="4" t="s">
        <v>916</v>
      </c>
      <c r="D116" s="4" t="s">
        <v>916</v>
      </c>
      <c r="E116" s="4">
        <v>54402</v>
      </c>
      <c r="F116" t="s">
        <v>916</v>
      </c>
      <c r="K116" s="22"/>
      <c r="N116" s="61"/>
      <c r="O116" s="4">
        <v>43518</v>
      </c>
      <c r="P116" s="79" t="e">
        <v>#N/A</v>
      </c>
      <c r="S116" s="22"/>
      <c r="U116" s="4" t="s">
        <v>725</v>
      </c>
      <c r="V116" s="84" t="s">
        <v>622</v>
      </c>
      <c r="AA116" t="str">
        <f>IF(realTime!AA116="","",realTime!AA116)</f>
        <v/>
      </c>
      <c r="AB116" t="str">
        <f>IF(realTime!AB116="","",realTime!AB116)</f>
        <v/>
      </c>
    </row>
    <row r="117" spans="1:28" x14ac:dyDescent="0.25">
      <c r="A117" t="s">
        <v>985</v>
      </c>
      <c r="B117" t="s">
        <v>160</v>
      </c>
      <c r="C117" s="4" t="s">
        <v>916</v>
      </c>
      <c r="D117" s="4" t="s">
        <v>916</v>
      </c>
      <c r="E117" s="4">
        <v>54402</v>
      </c>
      <c r="F117" t="s">
        <v>916</v>
      </c>
      <c r="K117" s="22"/>
      <c r="N117" s="61"/>
      <c r="O117" s="4">
        <v>43518</v>
      </c>
      <c r="P117" s="79" t="e">
        <v>#N/A</v>
      </c>
      <c r="S117" s="22"/>
      <c r="U117" s="4" t="s">
        <v>726</v>
      </c>
      <c r="V117" s="84" t="s">
        <v>623</v>
      </c>
      <c r="AA117" t="str">
        <f>IF(realTime!AA117="","",realTime!AA117)</f>
        <v/>
      </c>
      <c r="AB117" t="str">
        <f>IF(realTime!AB117="","",realTime!AB117)</f>
        <v/>
      </c>
    </row>
    <row r="118" spans="1:28" x14ac:dyDescent="0.25">
      <c r="A118" t="s">
        <v>986</v>
      </c>
      <c r="B118" t="s">
        <v>161</v>
      </c>
      <c r="C118" s="4" t="s">
        <v>916</v>
      </c>
      <c r="D118" s="4" t="s">
        <v>916</v>
      </c>
      <c r="E118" s="4">
        <v>54402</v>
      </c>
      <c r="F118" t="s">
        <v>916</v>
      </c>
      <c r="K118" s="22"/>
      <c r="N118" s="61"/>
      <c r="O118" s="4">
        <v>43518</v>
      </c>
      <c r="P118" s="79" t="e">
        <v>#N/A</v>
      </c>
      <c r="S118" s="22"/>
      <c r="U118" s="4" t="s">
        <v>727</v>
      </c>
      <c r="V118" s="84" t="s">
        <v>624</v>
      </c>
      <c r="AA118" t="str">
        <f>IF(realTime!AA118="","",realTime!AA118)</f>
        <v/>
      </c>
      <c r="AB118" t="str">
        <f>IF(realTime!AB118="","",realTime!AB118)</f>
        <v/>
      </c>
    </row>
    <row r="119" spans="1:28" x14ac:dyDescent="0.25">
      <c r="A119" t="s">
        <v>987</v>
      </c>
      <c r="B119" t="s">
        <v>162</v>
      </c>
      <c r="C119" s="4" t="s">
        <v>916</v>
      </c>
      <c r="D119" s="4" t="s">
        <v>916</v>
      </c>
      <c r="E119" s="4">
        <v>54402</v>
      </c>
      <c r="F119" t="s">
        <v>916</v>
      </c>
      <c r="K119" s="22"/>
      <c r="N119" s="61"/>
      <c r="O119" s="4">
        <v>43518</v>
      </c>
      <c r="P119" s="79" t="e">
        <v>#N/A</v>
      </c>
      <c r="S119" s="22"/>
      <c r="U119" s="4" t="s">
        <v>728</v>
      </c>
      <c r="V119" s="84" t="s">
        <v>625</v>
      </c>
      <c r="AA119" t="str">
        <f>IF(realTime!AA119="","",realTime!AA119)</f>
        <v/>
      </c>
      <c r="AB119" t="str">
        <f>IF(realTime!AB119="","",realTime!AB119)</f>
        <v/>
      </c>
    </row>
    <row r="120" spans="1:28" x14ac:dyDescent="0.25">
      <c r="A120" t="s">
        <v>988</v>
      </c>
      <c r="B120" t="s">
        <v>163</v>
      </c>
      <c r="C120" s="4" t="s">
        <v>916</v>
      </c>
      <c r="D120" s="4" t="s">
        <v>916</v>
      </c>
      <c r="E120" s="4">
        <v>54402</v>
      </c>
      <c r="F120" t="s">
        <v>916</v>
      </c>
      <c r="K120" s="22"/>
      <c r="N120" s="61"/>
      <c r="O120" s="4">
        <v>43518</v>
      </c>
      <c r="P120" s="79" t="e">
        <v>#N/A</v>
      </c>
      <c r="S120" s="22"/>
      <c r="U120" s="4" t="s">
        <v>729</v>
      </c>
      <c r="V120" s="84" t="s">
        <v>626</v>
      </c>
      <c r="AA120" t="str">
        <f>IF(realTime!AA120="","",realTime!AA120)</f>
        <v/>
      </c>
      <c r="AB120" t="str">
        <f>IF(realTime!AB120="","",realTime!AB120)</f>
        <v/>
      </c>
    </row>
    <row r="121" spans="1:28" x14ac:dyDescent="0.25">
      <c r="A121" t="s">
        <v>989</v>
      </c>
      <c r="B121" t="s">
        <v>164</v>
      </c>
      <c r="C121" s="4" t="s">
        <v>916</v>
      </c>
      <c r="D121" s="4" t="s">
        <v>916</v>
      </c>
      <c r="E121" s="4">
        <v>54402</v>
      </c>
      <c r="F121" t="s">
        <v>916</v>
      </c>
      <c r="K121" s="22"/>
      <c r="N121" s="61"/>
      <c r="O121" s="4">
        <v>43518</v>
      </c>
      <c r="P121" s="79" t="e">
        <v>#N/A</v>
      </c>
      <c r="S121" s="22"/>
      <c r="U121" s="4" t="s">
        <v>730</v>
      </c>
      <c r="V121" s="84" t="s">
        <v>627</v>
      </c>
      <c r="AA121" t="str">
        <f>IF(realTime!AA121="","",realTime!AA121)</f>
        <v/>
      </c>
      <c r="AB121" t="str">
        <f>IF(realTime!AB121="","",realTime!AB121)</f>
        <v/>
      </c>
    </row>
    <row r="122" spans="1:28" x14ac:dyDescent="0.25">
      <c r="A122" t="s">
        <v>990</v>
      </c>
      <c r="B122" t="s">
        <v>165</v>
      </c>
      <c r="C122" s="4" t="s">
        <v>916</v>
      </c>
      <c r="D122" s="4" t="s">
        <v>916</v>
      </c>
      <c r="E122" s="4">
        <v>54402</v>
      </c>
      <c r="F122" t="s">
        <v>916</v>
      </c>
      <c r="K122" s="22"/>
      <c r="N122" s="61"/>
      <c r="O122" s="4">
        <v>43518</v>
      </c>
      <c r="P122" s="79" t="e">
        <v>#N/A</v>
      </c>
      <c r="S122" s="22"/>
      <c r="U122" s="4" t="s">
        <v>731</v>
      </c>
      <c r="V122" s="84" t="s">
        <v>732</v>
      </c>
      <c r="AA122" t="str">
        <f>IF(realTime!AA122="","",realTime!AA122)</f>
        <v/>
      </c>
      <c r="AB122" t="str">
        <f>IF(realTime!AB122="","",realTime!AB122)</f>
        <v/>
      </c>
    </row>
    <row r="123" spans="1:28" x14ac:dyDescent="0.25">
      <c r="A123" t="s">
        <v>991</v>
      </c>
      <c r="B123" t="s">
        <v>166</v>
      </c>
      <c r="C123" s="4" t="s">
        <v>916</v>
      </c>
      <c r="D123" s="4" t="s">
        <v>916</v>
      </c>
      <c r="E123" s="4">
        <v>54402</v>
      </c>
      <c r="F123" t="s">
        <v>916</v>
      </c>
      <c r="K123" s="22"/>
      <c r="N123" s="61"/>
      <c r="O123" s="4">
        <v>43518</v>
      </c>
      <c r="P123" s="79" t="e">
        <v>#N/A</v>
      </c>
      <c r="S123" s="22"/>
      <c r="U123" s="4" t="s">
        <v>733</v>
      </c>
      <c r="V123" s="84" t="s">
        <v>628</v>
      </c>
      <c r="AA123" t="str">
        <f>IF(realTime!AA123="","",realTime!AA123)</f>
        <v/>
      </c>
      <c r="AB123" t="str">
        <f>IF(realTime!AB123="","",realTime!AB123)</f>
        <v/>
      </c>
    </row>
    <row r="124" spans="1:28" x14ac:dyDescent="0.25">
      <c r="A124" t="s">
        <v>992</v>
      </c>
      <c r="B124" t="s">
        <v>167</v>
      </c>
      <c r="C124" s="4" t="s">
        <v>916</v>
      </c>
      <c r="D124" s="4" t="s">
        <v>916</v>
      </c>
      <c r="E124" s="4">
        <v>54402</v>
      </c>
      <c r="F124" t="s">
        <v>916</v>
      </c>
      <c r="K124" s="22"/>
      <c r="N124" s="61"/>
      <c r="O124" s="4">
        <v>43518</v>
      </c>
      <c r="P124" s="79" t="e">
        <v>#N/A</v>
      </c>
      <c r="S124" s="22"/>
      <c r="U124" s="4" t="s">
        <v>734</v>
      </c>
      <c r="V124" s="84" t="s">
        <v>735</v>
      </c>
      <c r="AA124" t="str">
        <f>IF(realTime!AA124="","",realTime!AA124)</f>
        <v/>
      </c>
      <c r="AB124" t="str">
        <f>IF(realTime!AB124="","",realTime!AB124)</f>
        <v/>
      </c>
    </row>
    <row r="125" spans="1:28" x14ac:dyDescent="0.25">
      <c r="A125" t="s">
        <v>993</v>
      </c>
      <c r="B125" t="s">
        <v>168</v>
      </c>
      <c r="C125" s="4" t="s">
        <v>916</v>
      </c>
      <c r="D125" s="4" t="s">
        <v>916</v>
      </c>
      <c r="E125" s="4">
        <v>54402</v>
      </c>
      <c r="F125" t="s">
        <v>916</v>
      </c>
      <c r="K125" s="22"/>
      <c r="N125" s="61"/>
      <c r="O125" s="4">
        <v>43518</v>
      </c>
      <c r="P125" s="79" t="e">
        <v>#N/A</v>
      </c>
      <c r="U125" s="4" t="s">
        <v>736</v>
      </c>
      <c r="V125" s="84" t="s">
        <v>737</v>
      </c>
      <c r="AA125" t="str">
        <f>IF(realTime!AA125="","",realTime!AA125)</f>
        <v/>
      </c>
      <c r="AB125" t="str">
        <f>IF(realTime!AB125="","",realTime!AB125)</f>
        <v/>
      </c>
    </row>
    <row r="126" spans="1:28" x14ac:dyDescent="0.25">
      <c r="A126" t="s">
        <v>994</v>
      </c>
      <c r="B126" t="s">
        <v>169</v>
      </c>
      <c r="C126" s="4" t="s">
        <v>916</v>
      </c>
      <c r="D126" s="4" t="s">
        <v>916</v>
      </c>
      <c r="E126" s="4">
        <v>54402</v>
      </c>
      <c r="F126" t="s">
        <v>916</v>
      </c>
      <c r="K126" s="22"/>
      <c r="N126" s="61"/>
      <c r="O126" s="4">
        <v>43518</v>
      </c>
      <c r="P126" s="79" t="e">
        <v>#N/A</v>
      </c>
      <c r="U126" s="4" t="s">
        <v>738</v>
      </c>
      <c r="V126" s="84" t="s">
        <v>629</v>
      </c>
      <c r="AA126" t="str">
        <f>IF(realTime!AA126="","",realTime!AA126)</f>
        <v/>
      </c>
      <c r="AB126" t="str">
        <f>IF(realTime!AB126="","",realTime!AB126)</f>
        <v/>
      </c>
    </row>
    <row r="127" spans="1:28" x14ac:dyDescent="0.25">
      <c r="A127" t="s">
        <v>995</v>
      </c>
      <c r="B127" t="s">
        <v>170</v>
      </c>
      <c r="C127" s="4">
        <v>43440</v>
      </c>
      <c r="D127" s="4">
        <v>54402</v>
      </c>
      <c r="E127" s="4" t="s">
        <v>916</v>
      </c>
      <c r="F127">
        <v>0.64855949600000007</v>
      </c>
      <c r="K127" s="22"/>
      <c r="N127" s="61"/>
      <c r="O127" s="4">
        <v>43518</v>
      </c>
      <c r="P127" s="79" t="e">
        <v>#N/A</v>
      </c>
      <c r="U127" s="4" t="s">
        <v>739</v>
      </c>
      <c r="V127" s="84" t="s">
        <v>740</v>
      </c>
      <c r="AA127" t="str">
        <f>IF(realTime!AA127="","",realTime!AA127)</f>
        <v/>
      </c>
      <c r="AB127" t="str">
        <f>IF(realTime!AB127="","",realTime!AB127)</f>
        <v/>
      </c>
    </row>
    <row r="128" spans="1:28" x14ac:dyDescent="0.25">
      <c r="A128" t="s">
        <v>996</v>
      </c>
      <c r="B128" t="s">
        <v>171</v>
      </c>
      <c r="C128" s="4" t="s">
        <v>916</v>
      </c>
      <c r="D128" s="4" t="s">
        <v>916</v>
      </c>
      <c r="E128" s="4" t="s">
        <v>916</v>
      </c>
      <c r="F128" t="s">
        <v>916</v>
      </c>
      <c r="K128" s="22"/>
      <c r="N128" s="61"/>
      <c r="O128" s="4">
        <v>43518</v>
      </c>
      <c r="P128" s="79" t="e">
        <v>#N/A</v>
      </c>
      <c r="U128" s="4" t="s">
        <v>741</v>
      </c>
      <c r="V128" s="84" t="s">
        <v>742</v>
      </c>
      <c r="AA128" t="str">
        <f>IF(realTime!AA128="","",realTime!AA128)</f>
        <v/>
      </c>
      <c r="AB128" t="str">
        <f>IF(realTime!AB128="","",realTime!AB128)</f>
        <v/>
      </c>
    </row>
    <row r="129" spans="1:28" x14ac:dyDescent="0.25">
      <c r="A129" t="s">
        <v>997</v>
      </c>
      <c r="B129" t="s">
        <v>172</v>
      </c>
      <c r="C129" s="4" t="s">
        <v>916</v>
      </c>
      <c r="D129" s="4" t="s">
        <v>916</v>
      </c>
      <c r="E129" s="4" t="s">
        <v>916</v>
      </c>
      <c r="F129" t="s">
        <v>916</v>
      </c>
      <c r="K129" s="22"/>
      <c r="N129" s="61"/>
      <c r="O129" s="4">
        <v>43518</v>
      </c>
      <c r="P129" s="79" t="e">
        <v>#N/A</v>
      </c>
      <c r="U129" s="4" t="s">
        <v>743</v>
      </c>
      <c r="V129" s="84" t="s">
        <v>744</v>
      </c>
      <c r="AA129" t="str">
        <f>IF(realTime!AA129="","",realTime!AA129)</f>
        <v/>
      </c>
      <c r="AB129" t="str">
        <f>IF(realTime!AB129="","",realTime!AB129)</f>
        <v/>
      </c>
    </row>
    <row r="130" spans="1:28" x14ac:dyDescent="0.25">
      <c r="E130" s="4"/>
      <c r="K130" s="22"/>
      <c r="N130" s="61"/>
      <c r="O130" s="4">
        <v>43518</v>
      </c>
      <c r="P130" s="79" t="e">
        <v>#N/A</v>
      </c>
      <c r="U130" s="4" t="s">
        <v>745</v>
      </c>
      <c r="V130" s="84" t="s">
        <v>746</v>
      </c>
      <c r="AA130" t="str">
        <f>IF(realTime!AA130="","",realTime!AA130)</f>
        <v/>
      </c>
      <c r="AB130" t="str">
        <f>IF(realTime!AB130="","",realTime!AB130)</f>
        <v/>
      </c>
    </row>
    <row r="131" spans="1:28" x14ac:dyDescent="0.25">
      <c r="E131" s="4"/>
      <c r="K131" s="22"/>
      <c r="N131" s="61"/>
      <c r="O131" s="4">
        <v>43518</v>
      </c>
      <c r="U131" s="4" t="s">
        <v>747</v>
      </c>
      <c r="V131" s="84" t="s">
        <v>630</v>
      </c>
      <c r="AA131" t="str">
        <f>IF(realTime!AA131="","",realTime!AA131)</f>
        <v/>
      </c>
      <c r="AB131" t="str">
        <f>IF(realTime!AB131="","",realTime!AB131)</f>
        <v/>
      </c>
    </row>
    <row r="132" spans="1:28" x14ac:dyDescent="0.25">
      <c r="E132" s="4"/>
      <c r="K132" s="22"/>
      <c r="N132" s="61"/>
      <c r="O132" s="4">
        <v>43518</v>
      </c>
      <c r="U132" s="4" t="s">
        <v>748</v>
      </c>
      <c r="V132" s="84" t="s">
        <v>749</v>
      </c>
      <c r="AA132" t="str">
        <f>IF(realTime!AA132="","",realTime!AA132)</f>
        <v/>
      </c>
      <c r="AB132" t="str">
        <f>IF(realTime!AB132="","",realTime!AB132)</f>
        <v/>
      </c>
    </row>
    <row r="133" spans="1:28" x14ac:dyDescent="0.25">
      <c r="E133" s="4"/>
      <c r="K133" s="22"/>
      <c r="N133" s="61"/>
      <c r="O133" s="4">
        <v>43518</v>
      </c>
      <c r="U133" s="4" t="s">
        <v>750</v>
      </c>
      <c r="V133" s="84" t="s">
        <v>751</v>
      </c>
      <c r="AA133" t="str">
        <f>IF(realTime!AA133="","",realTime!AA133)</f>
        <v/>
      </c>
      <c r="AB133" t="str">
        <f>IF(realTime!AB133="","",realTime!AB133)</f>
        <v/>
      </c>
    </row>
    <row r="134" spans="1:28" x14ac:dyDescent="0.25">
      <c r="E134" s="4"/>
      <c r="K134" s="22"/>
      <c r="N134" s="61"/>
      <c r="O134" s="4">
        <v>43518</v>
      </c>
      <c r="U134" s="4" t="s">
        <v>752</v>
      </c>
      <c r="V134" s="84" t="s">
        <v>753</v>
      </c>
      <c r="AA134" t="str">
        <f>IF(realTime!AA134="","",realTime!AA134)</f>
        <v/>
      </c>
      <c r="AB134" t="str">
        <f>IF(realTime!AB134="","",realTime!AB134)</f>
        <v/>
      </c>
    </row>
    <row r="135" spans="1:28" x14ac:dyDescent="0.25">
      <c r="E135" s="4"/>
      <c r="K135" s="22"/>
      <c r="N135" s="61"/>
      <c r="O135" s="4">
        <v>43518</v>
      </c>
      <c r="U135" s="4" t="s">
        <v>754</v>
      </c>
      <c r="V135" s="84" t="s">
        <v>755</v>
      </c>
      <c r="AA135" t="str">
        <f>IF(realTime!AA135="","",realTime!AA135)</f>
        <v/>
      </c>
      <c r="AB135" t="str">
        <f>IF(realTime!AB135="","",realTime!AB135)</f>
        <v/>
      </c>
    </row>
    <row r="136" spans="1:28" x14ac:dyDescent="0.25">
      <c r="E136" s="4"/>
      <c r="K136" s="22"/>
      <c r="N136" s="61"/>
      <c r="O136" s="61"/>
      <c r="U136" s="4" t="s">
        <v>756</v>
      </c>
      <c r="V136" s="84" t="s">
        <v>757</v>
      </c>
      <c r="AA136" t="str">
        <f>IF(realTime!AA136="","",realTime!AA136)</f>
        <v/>
      </c>
      <c r="AB136" t="str">
        <f>IF(realTime!AB136="","",realTime!AB136)</f>
        <v/>
      </c>
    </row>
    <row r="137" spans="1:28" x14ac:dyDescent="0.25">
      <c r="E137" s="4"/>
      <c r="K137" s="22"/>
      <c r="N137" s="61"/>
      <c r="O137" s="61"/>
      <c r="U137" s="4" t="s">
        <v>758</v>
      </c>
      <c r="V137" s="84" t="s">
        <v>759</v>
      </c>
      <c r="AA137" t="str">
        <f>IF(realTime!AA137="","",realTime!AA137)</f>
        <v/>
      </c>
      <c r="AB137" t="str">
        <f>IF(realTime!AB137="","",realTime!AB137)</f>
        <v/>
      </c>
    </row>
    <row r="138" spans="1:28" x14ac:dyDescent="0.25">
      <c r="E138" s="4"/>
      <c r="K138" s="22"/>
      <c r="N138" s="61"/>
      <c r="O138" s="61"/>
      <c r="U138" s="4" t="s">
        <v>760</v>
      </c>
      <c r="V138" s="84" t="s">
        <v>761</v>
      </c>
      <c r="AA138" t="str">
        <f>IF(realTime!AA138="","",realTime!AA138)</f>
        <v/>
      </c>
      <c r="AB138" t="str">
        <f>IF(realTime!AB138="","",realTime!AB138)</f>
        <v/>
      </c>
    </row>
    <row r="139" spans="1:28" x14ac:dyDescent="0.25">
      <c r="E139" s="4"/>
      <c r="K139" s="22"/>
      <c r="N139" s="61"/>
      <c r="O139" s="61"/>
      <c r="U139" s="4" t="s">
        <v>762</v>
      </c>
      <c r="V139" s="84" t="s">
        <v>763</v>
      </c>
      <c r="AA139" t="str">
        <f>IF(realTime!AA139="","",realTime!AA139)</f>
        <v/>
      </c>
      <c r="AB139" t="str">
        <f>IF(realTime!AB139="","",realTime!AB139)</f>
        <v/>
      </c>
    </row>
    <row r="140" spans="1:28" x14ac:dyDescent="0.25">
      <c r="E140" s="4"/>
      <c r="K140" s="22"/>
      <c r="N140" s="61"/>
      <c r="O140" s="61"/>
      <c r="U140" s="4" t="s">
        <v>764</v>
      </c>
      <c r="V140" s="84" t="s">
        <v>765</v>
      </c>
      <c r="AA140" t="str">
        <f>IF(realTime!AA140="","",realTime!AA140)</f>
        <v/>
      </c>
      <c r="AB140" t="str">
        <f>IF(realTime!AB140="","",realTime!AB140)</f>
        <v/>
      </c>
    </row>
    <row r="141" spans="1:28" x14ac:dyDescent="0.25">
      <c r="E141" s="4"/>
      <c r="K141" s="22"/>
      <c r="N141" s="61"/>
      <c r="O141" s="61"/>
      <c r="U141" s="4" t="s">
        <v>766</v>
      </c>
      <c r="V141" s="84" t="s">
        <v>631</v>
      </c>
      <c r="AA141" t="str">
        <f>IF(realTime!AA141="","",realTime!AA141)</f>
        <v/>
      </c>
      <c r="AB141" t="str">
        <f>IF(realTime!AB141="","",realTime!AB141)</f>
        <v/>
      </c>
    </row>
    <row r="142" spans="1:28" x14ac:dyDescent="0.25">
      <c r="E142" s="4"/>
      <c r="K142" s="22"/>
      <c r="N142" s="61"/>
      <c r="O142" s="61"/>
      <c r="U142" s="4" t="s">
        <v>767</v>
      </c>
      <c r="V142" s="84" t="s">
        <v>768</v>
      </c>
      <c r="AA142" t="str">
        <f>IF(realTime!AA142="","",realTime!AA142)</f>
        <v/>
      </c>
      <c r="AB142" t="str">
        <f>IF(realTime!AB142="","",realTime!AB142)</f>
        <v/>
      </c>
    </row>
    <row r="143" spans="1:28" x14ac:dyDescent="0.25">
      <c r="E143" s="4"/>
      <c r="K143" s="22"/>
      <c r="N143" s="61"/>
      <c r="O143" s="61"/>
      <c r="U143" s="4" t="s">
        <v>769</v>
      </c>
      <c r="V143" s="84" t="s">
        <v>770</v>
      </c>
      <c r="AA143" t="str">
        <f>IF(realTime!AA143="","",realTime!AA143)</f>
        <v/>
      </c>
      <c r="AB143" t="str">
        <f>IF(realTime!AB143="","",realTime!AB143)</f>
        <v/>
      </c>
    </row>
    <row r="144" spans="1:28" x14ac:dyDescent="0.25">
      <c r="E144" s="4"/>
      <c r="K144" s="22"/>
      <c r="N144" s="61"/>
      <c r="O144" s="61"/>
      <c r="U144" s="4"/>
      <c r="V144" s="84"/>
      <c r="AA144" t="str">
        <f>IF(realTime!AA144="","",realTime!AA144)</f>
        <v/>
      </c>
      <c r="AB144" t="str">
        <f>IF(realTime!AB144="","",realTime!AB144)</f>
        <v/>
      </c>
    </row>
    <row r="145" spans="5:28" x14ac:dyDescent="0.25">
      <c r="E145" s="4"/>
      <c r="K145" s="22"/>
      <c r="N145" s="61"/>
      <c r="O145" s="61"/>
      <c r="U145" s="4"/>
      <c r="V145" s="84"/>
      <c r="AA145" t="str">
        <f>IF(realTime!AA145="","",realTime!AA145)</f>
        <v/>
      </c>
      <c r="AB145" t="str">
        <f>IF(realTime!AB145="","",realTime!AB145)</f>
        <v/>
      </c>
    </row>
    <row r="146" spans="5:28" x14ac:dyDescent="0.25">
      <c r="E146" s="4"/>
      <c r="K146" s="22"/>
      <c r="N146" s="61"/>
      <c r="O146" s="61"/>
      <c r="U146" s="4"/>
      <c r="V146" s="84"/>
      <c r="AA146" t="str">
        <f>IF(realTime!AA146="","",realTime!AA146)</f>
        <v/>
      </c>
      <c r="AB146" t="str">
        <f>IF(realTime!AB146="","",realTime!AB146)</f>
        <v/>
      </c>
    </row>
    <row r="147" spans="5:28" x14ac:dyDescent="0.25">
      <c r="E147" s="4"/>
      <c r="K147" s="22"/>
      <c r="N147" s="61"/>
      <c r="O147" s="61"/>
      <c r="U147" s="4"/>
      <c r="V147" s="84"/>
      <c r="AA147" t="str">
        <f>IF(realTime!AA147="","",realTime!AA147)</f>
        <v/>
      </c>
      <c r="AB147" t="str">
        <f>IF(realTime!AB147="","",realTime!AB147)</f>
        <v/>
      </c>
    </row>
    <row r="148" spans="5:28" x14ac:dyDescent="0.25">
      <c r="E148" s="4"/>
      <c r="K148" s="22"/>
      <c r="N148" s="61"/>
      <c r="O148" s="61"/>
      <c r="U148" s="4"/>
      <c r="V148" s="84"/>
      <c r="AA148" t="str">
        <f>IF(realTime!AA148="","",realTime!AA148)</f>
        <v/>
      </c>
      <c r="AB148" t="str">
        <f>IF(realTime!AB148="","",realTime!AB148)</f>
        <v/>
      </c>
    </row>
    <row r="149" spans="5:28" x14ac:dyDescent="0.25">
      <c r="E149" s="4"/>
      <c r="K149" s="22"/>
      <c r="N149" s="61"/>
      <c r="O149" s="61"/>
      <c r="U149" s="4"/>
      <c r="V149" s="84"/>
      <c r="AA149" t="str">
        <f>IF(realTime!AA149="","",realTime!AA149)</f>
        <v/>
      </c>
      <c r="AB149" t="str">
        <f>IF(realTime!AB149="","",realTime!AB149)</f>
        <v/>
      </c>
    </row>
    <row r="150" spans="5:28" x14ac:dyDescent="0.25">
      <c r="E150" s="4"/>
      <c r="K150" s="22"/>
      <c r="N150" s="61"/>
      <c r="O150" s="61"/>
      <c r="U150" s="4"/>
      <c r="V150" s="84"/>
      <c r="AA150" t="str">
        <f>IF(realTime!AA150="","",realTime!AA150)</f>
        <v/>
      </c>
      <c r="AB150" t="str">
        <f>IF(realTime!AB150="","",realTime!AB150)</f>
        <v/>
      </c>
    </row>
    <row r="151" spans="5:28" x14ac:dyDescent="0.25">
      <c r="E151" s="4"/>
      <c r="K151" s="22"/>
      <c r="N151" s="61"/>
      <c r="O151" s="61"/>
      <c r="U151" s="4"/>
      <c r="V151" s="84"/>
      <c r="AA151" t="str">
        <f>IF(realTime!AA151="","",realTime!AA151)</f>
        <v/>
      </c>
      <c r="AB151" t="str">
        <f>IF(realTime!AB151="","",realTime!AB151)</f>
        <v/>
      </c>
    </row>
    <row r="152" spans="5:28" x14ac:dyDescent="0.25">
      <c r="E152" s="4"/>
      <c r="K152" s="22"/>
      <c r="N152" s="61"/>
      <c r="O152" s="61"/>
      <c r="U152" s="4"/>
      <c r="V152" s="84"/>
      <c r="AA152" t="str">
        <f>IF(realTime!AA152="","",realTime!AA152)</f>
        <v/>
      </c>
      <c r="AB152" t="str">
        <f>IF(realTime!AB152="","",realTime!AB152)</f>
        <v/>
      </c>
    </row>
    <row r="153" spans="5:28" x14ac:dyDescent="0.25">
      <c r="E153" s="4"/>
      <c r="N153" s="61"/>
      <c r="O153" s="61"/>
      <c r="U153" s="4"/>
      <c r="V153" s="84"/>
      <c r="AA153" t="str">
        <f>IF(realTime!AA153="","",realTime!AA153)</f>
        <v/>
      </c>
      <c r="AB153" t="str">
        <f>IF(realTime!AB153="","",realTime!AB153)</f>
        <v/>
      </c>
    </row>
    <row r="154" spans="5:28" x14ac:dyDescent="0.25">
      <c r="E154" s="4"/>
      <c r="N154" s="61"/>
      <c r="O154" s="61"/>
      <c r="U154" s="4"/>
      <c r="V154" s="84"/>
      <c r="AA154" t="str">
        <f>IF(realTime!AA154="","",realTime!AA154)</f>
        <v/>
      </c>
      <c r="AB154" t="str">
        <f>IF(realTime!AB154="","",realTime!AB154)</f>
        <v/>
      </c>
    </row>
    <row r="155" spans="5:28" x14ac:dyDescent="0.25">
      <c r="E155" s="4"/>
      <c r="N155" s="61"/>
      <c r="O155" s="61"/>
      <c r="U155" s="4"/>
      <c r="V155" s="84"/>
      <c r="AA155" t="str">
        <f>IF(realTime!AA155="","",realTime!AA155)</f>
        <v/>
      </c>
      <c r="AB155" t="str">
        <f>IF(realTime!AB155="","",realTime!AB155)</f>
        <v/>
      </c>
    </row>
    <row r="156" spans="5:28" x14ac:dyDescent="0.25">
      <c r="E156" s="4"/>
      <c r="N156" s="61"/>
      <c r="O156" s="61"/>
      <c r="U156" s="4"/>
      <c r="V156" s="84"/>
      <c r="AA156" t="str">
        <f>IF(realTime!AA156="","",realTime!AA156)</f>
        <v/>
      </c>
      <c r="AB156" t="str">
        <f>IF(realTime!AB156="","",realTime!AB156)</f>
        <v/>
      </c>
    </row>
    <row r="157" spans="5:28" x14ac:dyDescent="0.25">
      <c r="E157" s="4"/>
      <c r="N157" s="61"/>
      <c r="O157" s="61"/>
      <c r="U157" s="4"/>
      <c r="V157" s="84"/>
      <c r="AA157" t="str">
        <f>IF(realTime!AA157="","",realTime!AA157)</f>
        <v/>
      </c>
      <c r="AB157" t="str">
        <f>IF(realTime!AB157="","",realTime!AB157)</f>
        <v/>
      </c>
    </row>
    <row r="158" spans="5:28" x14ac:dyDescent="0.25">
      <c r="E158" s="4"/>
      <c r="N158" s="61"/>
      <c r="O158" s="61"/>
      <c r="U158" s="4"/>
      <c r="V158" s="84"/>
      <c r="AA158" t="str">
        <f>IF(realTime!AA158="","",realTime!AA158)</f>
        <v/>
      </c>
      <c r="AB158" t="str">
        <f>IF(realTime!AB158="","",realTime!AB158)</f>
        <v/>
      </c>
    </row>
    <row r="159" spans="5:28" x14ac:dyDescent="0.25">
      <c r="E159" s="4"/>
      <c r="N159" s="61"/>
      <c r="O159" s="61"/>
      <c r="U159" s="4"/>
      <c r="V159" s="84"/>
      <c r="AA159" t="str">
        <f>IF(realTime!AA159="","",realTime!AA159)</f>
        <v/>
      </c>
      <c r="AB159" t="str">
        <f>IF(realTime!AB159="","",realTime!AB159)</f>
        <v/>
      </c>
    </row>
    <row r="160" spans="5:28" x14ac:dyDescent="0.25">
      <c r="E160" s="4"/>
      <c r="N160" s="61"/>
      <c r="O160" s="61"/>
      <c r="U160" s="4"/>
      <c r="V160" s="84"/>
      <c r="AA160" t="str">
        <f>IF(realTime!AA160="","",realTime!AA160)</f>
        <v/>
      </c>
      <c r="AB160" t="str">
        <f>IF(realTime!AB160="","",realTime!AB160)</f>
        <v/>
      </c>
    </row>
    <row r="161" spans="5:28" x14ac:dyDescent="0.25">
      <c r="E161" s="4"/>
      <c r="N161" s="61"/>
      <c r="O161" s="61"/>
      <c r="U161" s="4"/>
      <c r="V161" s="84"/>
      <c r="AA161" t="str">
        <f>IF(realTime!AA161="","",realTime!AA161)</f>
        <v/>
      </c>
      <c r="AB161" t="str">
        <f>IF(realTime!AB161="","",realTime!AB161)</f>
        <v/>
      </c>
    </row>
    <row r="162" spans="5:28" x14ac:dyDescent="0.25">
      <c r="E162" s="4"/>
      <c r="N162" s="61"/>
      <c r="O162" s="61"/>
      <c r="U162" s="4"/>
      <c r="V162" s="84"/>
      <c r="AA162" t="str">
        <f>IF(realTime!AA162="","",realTime!AA162)</f>
        <v/>
      </c>
      <c r="AB162" t="str">
        <f>IF(realTime!AB162="","",realTime!AB162)</f>
        <v/>
      </c>
    </row>
    <row r="163" spans="5:28" x14ac:dyDescent="0.25">
      <c r="E163" s="4"/>
      <c r="N163" s="61"/>
      <c r="O163" s="61"/>
      <c r="U163" s="4"/>
      <c r="V163" s="84"/>
      <c r="AA163" t="str">
        <f>IF(realTime!AA163="","",realTime!AA163)</f>
        <v/>
      </c>
      <c r="AB163" t="str">
        <f>IF(realTime!AB163="","",realTime!AB163)</f>
        <v/>
      </c>
    </row>
    <row r="164" spans="5:28" x14ac:dyDescent="0.25">
      <c r="E164" s="4"/>
      <c r="N164" s="61"/>
      <c r="O164" s="61"/>
      <c r="U164" s="4"/>
      <c r="V164" s="84"/>
      <c r="AA164" t="str">
        <f>IF(realTime!AA164="","",realTime!AA164)</f>
        <v/>
      </c>
      <c r="AB164" t="str">
        <f>IF(realTime!AB164="","",realTime!AB164)</f>
        <v/>
      </c>
    </row>
    <row r="165" spans="5:28" x14ac:dyDescent="0.25">
      <c r="E165" s="4"/>
      <c r="N165" s="61"/>
      <c r="O165" s="61"/>
      <c r="U165" s="4"/>
      <c r="V165" s="84"/>
      <c r="AA165" t="str">
        <f>IF(realTime!AA165="","",realTime!AA165)</f>
        <v/>
      </c>
      <c r="AB165" t="str">
        <f>IF(realTime!AB165="","",realTime!AB165)</f>
        <v/>
      </c>
    </row>
    <row r="166" spans="5:28" x14ac:dyDescent="0.25">
      <c r="E166" s="4"/>
      <c r="N166" s="61"/>
      <c r="O166" s="61"/>
      <c r="U166" s="4"/>
      <c r="V166" s="84"/>
      <c r="AA166" t="str">
        <f>IF(realTime!AA166="","",realTime!AA166)</f>
        <v/>
      </c>
      <c r="AB166" t="str">
        <f>IF(realTime!AB166="","",realTime!AB166)</f>
        <v/>
      </c>
    </row>
    <row r="167" spans="5:28" x14ac:dyDescent="0.25">
      <c r="E167" s="4"/>
      <c r="N167" s="61"/>
      <c r="O167" s="61"/>
      <c r="U167" s="4"/>
      <c r="V167" s="84"/>
      <c r="AA167" t="str">
        <f>IF(realTime!AA167="","",realTime!AA167)</f>
        <v/>
      </c>
      <c r="AB167" t="str">
        <f>IF(realTime!AB167="","",realTime!AB167)</f>
        <v/>
      </c>
    </row>
    <row r="168" spans="5:28" x14ac:dyDescent="0.25">
      <c r="E168" s="4"/>
      <c r="N168" s="61"/>
      <c r="O168" s="61"/>
      <c r="U168" s="4"/>
      <c r="V168" s="84"/>
      <c r="AA168" t="str">
        <f>IF(realTime!AA168="","",realTime!AA168)</f>
        <v/>
      </c>
      <c r="AB168" t="str">
        <f>IF(realTime!AB168="","",realTime!AB168)</f>
        <v/>
      </c>
    </row>
    <row r="169" spans="5:28" x14ac:dyDescent="0.25">
      <c r="E169" s="4"/>
      <c r="N169" s="61"/>
      <c r="O169" s="61"/>
      <c r="U169" s="4"/>
      <c r="V169" s="84"/>
      <c r="AA169" t="str">
        <f>IF(realTime!AA169="","",realTime!AA169)</f>
        <v/>
      </c>
      <c r="AB169" t="str">
        <f>IF(realTime!AB169="","",realTime!AB169)</f>
        <v/>
      </c>
    </row>
    <row r="170" spans="5:28" x14ac:dyDescent="0.25">
      <c r="E170" s="4"/>
      <c r="N170" s="61"/>
      <c r="O170" s="61"/>
      <c r="U170" s="4"/>
      <c r="V170" s="84"/>
      <c r="AA170" t="str">
        <f>IF(realTime!AA170="","",realTime!AA170)</f>
        <v/>
      </c>
      <c r="AB170" t="str">
        <f>IF(realTime!AB170="","",realTime!AB170)</f>
        <v/>
      </c>
    </row>
    <row r="171" spans="5:28" x14ac:dyDescent="0.25">
      <c r="E171" s="4"/>
      <c r="N171" s="61"/>
      <c r="O171" s="61"/>
      <c r="U171" s="4"/>
      <c r="V171" s="84"/>
      <c r="AA171" t="str">
        <f>IF(realTime!AA171="","",realTime!AA171)</f>
        <v/>
      </c>
      <c r="AB171" t="str">
        <f>IF(realTime!AB171="","",realTime!AB171)</f>
        <v/>
      </c>
    </row>
    <row r="172" spans="5:28" x14ac:dyDescent="0.25">
      <c r="E172" s="4"/>
      <c r="N172" s="61"/>
      <c r="O172" s="61"/>
      <c r="U172" s="4"/>
      <c r="V172" s="84"/>
      <c r="AA172" t="str">
        <f>IF(realTime!AA172="","",realTime!AA172)</f>
        <v/>
      </c>
      <c r="AB172" t="str">
        <f>IF(realTime!AB172="","",realTime!AB172)</f>
        <v/>
      </c>
    </row>
    <row r="173" spans="5:28" x14ac:dyDescent="0.25">
      <c r="E173" s="4"/>
      <c r="N173" s="61"/>
      <c r="O173" s="61"/>
      <c r="U173" s="4"/>
      <c r="V173" s="84"/>
      <c r="AA173" t="str">
        <f>IF(realTime!AA173="","",realTime!AA173)</f>
        <v/>
      </c>
      <c r="AB173" t="str">
        <f>IF(realTime!AB173="","",realTime!AB173)</f>
        <v/>
      </c>
    </row>
    <row r="174" spans="5:28" x14ac:dyDescent="0.25">
      <c r="E174" s="4"/>
      <c r="N174" s="61"/>
      <c r="O174" s="61"/>
      <c r="U174" s="4"/>
      <c r="V174" s="84"/>
      <c r="AA174" t="str">
        <f>IF(realTime!AA174="","",realTime!AA174)</f>
        <v/>
      </c>
      <c r="AB174" t="str">
        <f>IF(realTime!AB174="","",realTime!AB174)</f>
        <v/>
      </c>
    </row>
    <row r="175" spans="5:28" x14ac:dyDescent="0.25">
      <c r="E175" s="4"/>
      <c r="N175" s="61"/>
      <c r="O175" s="61"/>
      <c r="U175" s="4"/>
      <c r="V175" s="84"/>
      <c r="AA175" t="str">
        <f>IF(realTime!AA175="","",realTime!AA175)</f>
        <v/>
      </c>
      <c r="AB175" t="str">
        <f>IF(realTime!AB175="","",realTime!AB175)</f>
        <v/>
      </c>
    </row>
    <row r="176" spans="5:28" x14ac:dyDescent="0.25">
      <c r="E176" s="4"/>
      <c r="N176" s="61"/>
      <c r="O176" s="61"/>
      <c r="U176" s="4"/>
      <c r="V176" s="84"/>
      <c r="AA176" t="str">
        <f>IF(realTime!AA176="","",realTime!AA176)</f>
        <v/>
      </c>
      <c r="AB176" t="str">
        <f>IF(realTime!AB176="","",realTime!AB176)</f>
        <v/>
      </c>
    </row>
    <row r="177" spans="5:28" x14ac:dyDescent="0.25">
      <c r="E177" s="4"/>
      <c r="N177" s="61"/>
      <c r="O177" s="61"/>
      <c r="U177" s="4"/>
      <c r="V177" s="84"/>
      <c r="AA177" t="str">
        <f>IF(realTime!AA177="","",realTime!AA177)</f>
        <v/>
      </c>
      <c r="AB177" t="str">
        <f>IF(realTime!AB177="","",realTime!AB177)</f>
        <v/>
      </c>
    </row>
    <row r="178" spans="5:28" x14ac:dyDescent="0.25">
      <c r="E178" s="4"/>
      <c r="N178" s="61"/>
      <c r="O178" s="61"/>
      <c r="U178" s="4"/>
      <c r="V178" s="84"/>
      <c r="AA178" t="str">
        <f>IF(realTime!AA178="","",realTime!AA178)</f>
        <v/>
      </c>
      <c r="AB178" t="str">
        <f>IF(realTime!AB178="","",realTime!AB178)</f>
        <v/>
      </c>
    </row>
    <row r="179" spans="5:28" x14ac:dyDescent="0.25">
      <c r="E179" s="4"/>
      <c r="N179" s="61"/>
      <c r="O179" s="61"/>
      <c r="U179" s="4"/>
      <c r="V179" s="84"/>
      <c r="AA179" t="str">
        <f>IF(realTime!AA179="","",realTime!AA179)</f>
        <v/>
      </c>
      <c r="AB179" t="str">
        <f>IF(realTime!AB179="","",realTime!AB179)</f>
        <v/>
      </c>
    </row>
    <row r="180" spans="5:28" x14ac:dyDescent="0.25">
      <c r="E180" s="4"/>
      <c r="N180" s="61"/>
      <c r="O180" s="61"/>
      <c r="U180" s="4"/>
      <c r="V180" s="84"/>
      <c r="AA180" t="str">
        <f>IF(realTime!AA180="","",realTime!AA180)</f>
        <v/>
      </c>
      <c r="AB180" t="str">
        <f>IF(realTime!AB180="","",realTime!AB180)</f>
        <v/>
      </c>
    </row>
    <row r="181" spans="5:28" x14ac:dyDescent="0.25">
      <c r="E181" s="4"/>
      <c r="N181" s="61"/>
      <c r="O181" s="61"/>
      <c r="U181" s="4"/>
      <c r="V181" s="84"/>
      <c r="AA181" t="str">
        <f>IF(realTime!AA181="","",realTime!AA181)</f>
        <v/>
      </c>
      <c r="AB181" t="str">
        <f>IF(realTime!AB181="","",realTime!AB181)</f>
        <v/>
      </c>
    </row>
    <row r="182" spans="5:28" x14ac:dyDescent="0.25">
      <c r="E182" s="4"/>
      <c r="N182" s="61"/>
      <c r="O182" s="61"/>
      <c r="U182" s="4"/>
      <c r="V182" s="84"/>
      <c r="AA182" t="str">
        <f>IF(realTime!AA182="","",realTime!AA182)</f>
        <v/>
      </c>
      <c r="AB182" t="str">
        <f>IF(realTime!AB182="","",realTime!AB182)</f>
        <v/>
      </c>
    </row>
    <row r="183" spans="5:28" x14ac:dyDescent="0.25">
      <c r="E183" s="4"/>
      <c r="N183" s="61"/>
      <c r="O183" s="61"/>
      <c r="U183" s="4"/>
      <c r="V183" s="84"/>
      <c r="AA183" t="str">
        <f>IF(realTime!AA183="","",realTime!AA183)</f>
        <v/>
      </c>
      <c r="AB183" t="str">
        <f>IF(realTime!AB183="","",realTime!AB183)</f>
        <v/>
      </c>
    </row>
    <row r="184" spans="5:28" x14ac:dyDescent="0.25">
      <c r="E184" s="4"/>
      <c r="N184" s="61"/>
      <c r="O184" s="61"/>
      <c r="U184" s="4"/>
      <c r="V184" s="84"/>
      <c r="AA184" t="str">
        <f>IF(realTime!AA184="","",realTime!AA184)</f>
        <v/>
      </c>
      <c r="AB184" t="str">
        <f>IF(realTime!AB184="","",realTime!AB184)</f>
        <v/>
      </c>
    </row>
    <row r="185" spans="5:28" x14ac:dyDescent="0.25">
      <c r="E185" s="4"/>
      <c r="N185" s="61"/>
      <c r="O185" s="61"/>
      <c r="U185" s="4"/>
      <c r="V185" s="84"/>
      <c r="AA185" t="str">
        <f>IF(realTime!AA185="","",realTime!AA185)</f>
        <v/>
      </c>
      <c r="AB185" t="str">
        <f>IF(realTime!AB185="","",realTime!AB185)</f>
        <v/>
      </c>
    </row>
    <row r="186" spans="5:28" x14ac:dyDescent="0.25">
      <c r="E186" s="4"/>
      <c r="N186" s="61"/>
      <c r="O186" s="61"/>
      <c r="U186" s="4"/>
      <c r="V186" s="84"/>
      <c r="AA186" t="str">
        <f>IF(realTime!AA186="","",realTime!AA186)</f>
        <v/>
      </c>
      <c r="AB186" t="str">
        <f>IF(realTime!AB186="","",realTime!AB186)</f>
        <v/>
      </c>
    </row>
    <row r="187" spans="5:28" x14ac:dyDescent="0.25">
      <c r="E187" s="4"/>
      <c r="N187" s="61"/>
      <c r="O187" s="61"/>
      <c r="U187" s="4"/>
      <c r="V187" s="84"/>
      <c r="AA187" t="str">
        <f>IF(realTime!AA187="","",realTime!AA187)</f>
        <v/>
      </c>
      <c r="AB187" t="str">
        <f>IF(realTime!AB187="","",realTime!AB187)</f>
        <v/>
      </c>
    </row>
    <row r="188" spans="5:28" x14ac:dyDescent="0.25">
      <c r="E188" s="4"/>
      <c r="N188" s="61"/>
      <c r="O188" s="61"/>
      <c r="U188" s="4"/>
      <c r="V188" s="84"/>
      <c r="AA188" t="str">
        <f>IF(realTime!AA188="","",realTime!AA188)</f>
        <v/>
      </c>
      <c r="AB188" t="str">
        <f>IF(realTime!AB188="","",realTime!AB188)</f>
        <v/>
      </c>
    </row>
    <row r="189" spans="5:28" x14ac:dyDescent="0.25">
      <c r="E189" s="4"/>
      <c r="N189" s="61"/>
      <c r="O189" s="61"/>
      <c r="U189" s="4"/>
      <c r="V189" s="84"/>
      <c r="AA189" t="str">
        <f>IF(realTime!AA189="","",realTime!AA189)</f>
        <v/>
      </c>
      <c r="AB189" t="str">
        <f>IF(realTime!AB189="","",realTime!AB189)</f>
        <v/>
      </c>
    </row>
    <row r="190" spans="5:28" x14ac:dyDescent="0.25">
      <c r="E190" s="4"/>
      <c r="N190" s="61"/>
      <c r="O190" s="61"/>
      <c r="U190" s="4"/>
      <c r="V190" s="84"/>
      <c r="AA190" t="str">
        <f>IF(realTime!AA190="","",realTime!AA190)</f>
        <v/>
      </c>
      <c r="AB190" t="str">
        <f>IF(realTime!AB190="","",realTime!AB190)</f>
        <v/>
      </c>
    </row>
    <row r="191" spans="5:28" x14ac:dyDescent="0.25">
      <c r="E191" s="4"/>
      <c r="N191" s="61"/>
      <c r="O191" s="61"/>
      <c r="U191" s="4"/>
      <c r="V191" s="84"/>
      <c r="AA191" t="str">
        <f>IF(realTime!AA191="","",realTime!AA191)</f>
        <v/>
      </c>
      <c r="AB191" t="str">
        <f>IF(realTime!AB191="","",realTime!AB191)</f>
        <v/>
      </c>
    </row>
    <row r="192" spans="5:28" x14ac:dyDescent="0.25">
      <c r="E192" s="4"/>
      <c r="N192" s="61"/>
      <c r="O192" s="61"/>
      <c r="U192" s="4"/>
      <c r="V192" s="84"/>
      <c r="AA192" t="str">
        <f>IF(realTime!AA192="","",realTime!AA192)</f>
        <v/>
      </c>
      <c r="AB192" t="str">
        <f>IF(realTime!AB192="","",realTime!AB192)</f>
        <v/>
      </c>
    </row>
    <row r="193" spans="5:28" x14ac:dyDescent="0.25">
      <c r="E193" s="4"/>
      <c r="N193" s="61"/>
      <c r="O193" s="61"/>
      <c r="U193" s="4"/>
      <c r="V193" s="84"/>
      <c r="AA193" t="str">
        <f>IF(realTime!AA193="","",realTime!AA193)</f>
        <v/>
      </c>
      <c r="AB193" t="str">
        <f>IF(realTime!AB193="","",realTime!AB193)</f>
        <v/>
      </c>
    </row>
    <row r="194" spans="5:28" x14ac:dyDescent="0.25">
      <c r="E194" s="4"/>
      <c r="N194" s="61"/>
      <c r="O194" s="61"/>
      <c r="U194" s="4"/>
      <c r="V194" s="84"/>
      <c r="AA194" t="str">
        <f>IF(realTime!AA194="","",realTime!AA194)</f>
        <v/>
      </c>
      <c r="AB194" t="str">
        <f>IF(realTime!AB194="","",realTime!AB194)</f>
        <v/>
      </c>
    </row>
    <row r="195" spans="5:28" x14ac:dyDescent="0.25">
      <c r="E195" s="4"/>
      <c r="N195" s="61"/>
      <c r="O195" s="61"/>
      <c r="U195" s="4"/>
      <c r="V195" s="84"/>
      <c r="AA195" t="str">
        <f>IF(realTime!AA195="","",realTime!AA195)</f>
        <v/>
      </c>
      <c r="AB195" t="str">
        <f>IF(realTime!AB195="","",realTime!AB195)</f>
        <v/>
      </c>
    </row>
    <row r="196" spans="5:28" x14ac:dyDescent="0.25">
      <c r="E196" s="4"/>
      <c r="N196" s="61"/>
      <c r="O196" s="61"/>
      <c r="U196" s="4"/>
      <c r="V196" s="84"/>
      <c r="AA196" t="str">
        <f>IF(realTime!AA196="","",realTime!AA196)</f>
        <v/>
      </c>
      <c r="AB196" t="str">
        <f>IF(realTime!AB196="","",realTime!AB196)</f>
        <v/>
      </c>
    </row>
    <row r="197" spans="5:28" x14ac:dyDescent="0.25">
      <c r="E197" s="4"/>
      <c r="N197" s="61"/>
      <c r="O197" s="61"/>
      <c r="U197" s="4"/>
      <c r="V197" s="84"/>
      <c r="AA197" t="str">
        <f>IF(realTime!AA197="","",realTime!AA197)</f>
        <v/>
      </c>
      <c r="AB197" t="str">
        <f>IF(realTime!AB197="","",realTime!AB197)</f>
        <v/>
      </c>
    </row>
    <row r="198" spans="5:28" x14ac:dyDescent="0.25">
      <c r="E198" s="4"/>
      <c r="N198" s="61"/>
      <c r="O198" s="61"/>
      <c r="U198" s="4"/>
      <c r="V198" s="84"/>
      <c r="AA198" t="str">
        <f>IF(realTime!AA198="","",realTime!AA198)</f>
        <v/>
      </c>
      <c r="AB198" t="str">
        <f>IF(realTime!AB198="","",realTime!AB198)</f>
        <v/>
      </c>
    </row>
    <row r="199" spans="5:28" x14ac:dyDescent="0.25">
      <c r="E199" s="4"/>
      <c r="N199" s="61"/>
      <c r="O199" s="61"/>
      <c r="U199" s="4"/>
      <c r="V199" s="84"/>
      <c r="AA199" t="str">
        <f>IF(realTime!AA199="","",realTime!AA199)</f>
        <v/>
      </c>
      <c r="AB199" t="str">
        <f>IF(realTime!AB199="","",realTime!AB199)</f>
        <v/>
      </c>
    </row>
    <row r="200" spans="5:28" x14ac:dyDescent="0.25">
      <c r="E200" s="4"/>
      <c r="N200" s="61"/>
      <c r="O200" s="61"/>
      <c r="U200" s="4"/>
      <c r="V200" s="84"/>
      <c r="AA200" t="str">
        <f>IF(realTime!AA200="","",realTime!AA200)</f>
        <v/>
      </c>
      <c r="AB200" t="str">
        <f>IF(realTime!AB200="","",realTime!AB200)</f>
        <v/>
      </c>
    </row>
    <row r="201" spans="5:28" x14ac:dyDescent="0.25">
      <c r="E201" s="4"/>
      <c r="N201" s="61"/>
      <c r="O201" s="61"/>
      <c r="U201" s="4"/>
      <c r="V201" s="84"/>
      <c r="AA201" t="str">
        <f>IF(realTime!AA201="","",realTime!AA201)</f>
        <v/>
      </c>
      <c r="AB201" t="str">
        <f>IF(realTime!AB201="","",realTime!AB201)</f>
        <v/>
      </c>
    </row>
    <row r="202" spans="5:28" x14ac:dyDescent="0.25">
      <c r="E202" s="4"/>
      <c r="N202" s="61"/>
      <c r="O202" s="61"/>
      <c r="U202" s="4"/>
      <c r="V202" s="84"/>
      <c r="AA202" t="str">
        <f>IF(realTime!AA202="","",realTime!AA202)</f>
        <v/>
      </c>
      <c r="AB202" t="str">
        <f>IF(realTime!AB202="","",realTime!AB202)</f>
        <v/>
      </c>
    </row>
    <row r="203" spans="5:28" x14ac:dyDescent="0.25">
      <c r="E203" s="4"/>
      <c r="N203" s="61"/>
      <c r="O203" s="61"/>
      <c r="U203" s="4"/>
      <c r="V203" s="84"/>
      <c r="AA203" t="str">
        <f>IF(realTime!AA203="","",realTime!AA203)</f>
        <v/>
      </c>
      <c r="AB203" t="str">
        <f>IF(realTime!AB203="","",realTime!AB203)</f>
        <v/>
      </c>
    </row>
    <row r="204" spans="5:28" x14ac:dyDescent="0.25">
      <c r="E204" s="4"/>
      <c r="N204" s="61"/>
      <c r="O204" s="61"/>
      <c r="U204" s="4"/>
      <c r="V204" s="84"/>
      <c r="AA204" t="str">
        <f>IF(realTime!AA204="","",realTime!AA204)</f>
        <v/>
      </c>
      <c r="AB204" t="str">
        <f>IF(realTime!AB204="","",realTime!AB204)</f>
        <v/>
      </c>
    </row>
    <row r="205" spans="5:28" x14ac:dyDescent="0.25">
      <c r="E205" s="4"/>
      <c r="N205" s="61"/>
      <c r="O205" s="61"/>
      <c r="U205" s="4"/>
      <c r="V205" s="84"/>
      <c r="AA205" t="str">
        <f>IF(realTime!AA205="","",realTime!AA205)</f>
        <v/>
      </c>
      <c r="AB205" t="str">
        <f>IF(realTime!AB205="","",realTime!AB205)</f>
        <v/>
      </c>
    </row>
    <row r="206" spans="5:28" x14ac:dyDescent="0.25">
      <c r="E206" s="4"/>
      <c r="N206" s="61"/>
      <c r="O206" s="61"/>
      <c r="U206" s="4"/>
      <c r="V206" s="84"/>
      <c r="AA206" t="str">
        <f>IF(realTime!AA206="","",realTime!AA206)</f>
        <v/>
      </c>
      <c r="AB206" t="str">
        <f>IF(realTime!AB206="","",realTime!AB206)</f>
        <v/>
      </c>
    </row>
    <row r="207" spans="5:28" x14ac:dyDescent="0.25">
      <c r="E207" s="4"/>
      <c r="N207" s="61"/>
      <c r="O207" s="61"/>
      <c r="U207" s="4"/>
      <c r="V207" s="84"/>
      <c r="AA207" t="str">
        <f>IF(realTime!AA207="","",realTime!AA207)</f>
        <v/>
      </c>
      <c r="AB207" t="str">
        <f>IF(realTime!AB207="","",realTime!AB207)</f>
        <v/>
      </c>
    </row>
    <row r="208" spans="5:28" x14ac:dyDescent="0.25">
      <c r="E208" s="4"/>
      <c r="N208" s="61"/>
      <c r="O208" s="61"/>
      <c r="U208" s="4"/>
      <c r="V208" s="84"/>
      <c r="AA208" t="str">
        <f>IF(realTime!AA208="","",realTime!AA208)</f>
        <v/>
      </c>
      <c r="AB208" t="str">
        <f>IF(realTime!AB208="","",realTime!AB208)</f>
        <v/>
      </c>
    </row>
    <row r="209" spans="5:28" x14ac:dyDescent="0.25">
      <c r="E209" s="4"/>
      <c r="N209" s="61"/>
      <c r="O209" s="61"/>
      <c r="U209" s="4"/>
      <c r="V209" s="84"/>
      <c r="AA209" t="str">
        <f>IF(realTime!AA209="","",realTime!AA209)</f>
        <v/>
      </c>
      <c r="AB209" t="str">
        <f>IF(realTime!AB209="","",realTime!AB209)</f>
        <v/>
      </c>
    </row>
    <row r="210" spans="5:28" x14ac:dyDescent="0.25">
      <c r="E210" s="4"/>
      <c r="N210" s="61"/>
      <c r="O210" s="61"/>
      <c r="U210" s="4"/>
      <c r="V210" s="84"/>
      <c r="AA210" t="str">
        <f>IF(realTime!AA210="","",realTime!AA210)</f>
        <v/>
      </c>
      <c r="AB210" t="str">
        <f>IF(realTime!AB210="","",realTime!AB210)</f>
        <v/>
      </c>
    </row>
    <row r="211" spans="5:28" x14ac:dyDescent="0.25">
      <c r="E211" s="4"/>
      <c r="N211" s="61"/>
      <c r="O211" s="61"/>
      <c r="U211" s="4"/>
      <c r="V211" s="84"/>
      <c r="AA211" t="str">
        <f>IF(realTime!AA211="","",realTime!AA211)</f>
        <v/>
      </c>
      <c r="AB211" t="str">
        <f>IF(realTime!AB211="","",realTime!AB211)</f>
        <v/>
      </c>
    </row>
    <row r="212" spans="5:28" x14ac:dyDescent="0.25">
      <c r="E212" s="4"/>
      <c r="N212" s="61"/>
      <c r="O212" s="61"/>
      <c r="U212" s="4"/>
      <c r="V212" s="84"/>
      <c r="AA212" t="str">
        <f>IF(realTime!AA212="","",realTime!AA212)</f>
        <v/>
      </c>
      <c r="AB212" t="str">
        <f>IF(realTime!AB212="","",realTime!AB212)</f>
        <v/>
      </c>
    </row>
    <row r="213" spans="5:28" x14ac:dyDescent="0.25">
      <c r="E213" s="4"/>
      <c r="N213" s="61"/>
      <c r="O213" s="61"/>
      <c r="U213" s="4"/>
      <c r="V213" s="84"/>
      <c r="AA213" t="str">
        <f>IF(realTime!AA213="","",realTime!AA213)</f>
        <v/>
      </c>
      <c r="AB213" t="str">
        <f>IF(realTime!AB213="","",realTime!AB213)</f>
        <v/>
      </c>
    </row>
    <row r="214" spans="5:28" x14ac:dyDescent="0.25">
      <c r="E214" s="4"/>
      <c r="N214" s="61"/>
      <c r="O214" s="61"/>
      <c r="U214" s="4"/>
      <c r="V214" s="84"/>
      <c r="AA214" t="str">
        <f>IF(realTime!AA214="","",realTime!AA214)</f>
        <v/>
      </c>
      <c r="AB214" t="str">
        <f>IF(realTime!AB214="","",realTime!AB214)</f>
        <v/>
      </c>
    </row>
    <row r="215" spans="5:28" x14ac:dyDescent="0.25">
      <c r="E215" s="4"/>
      <c r="N215" s="61"/>
      <c r="O215" s="61"/>
      <c r="U215" s="4"/>
      <c r="V215" s="84"/>
      <c r="AA215" t="str">
        <f>IF(realTime!AA215="","",realTime!AA215)</f>
        <v/>
      </c>
      <c r="AB215" t="str">
        <f>IF(realTime!AB215="","",realTime!AB215)</f>
        <v/>
      </c>
    </row>
    <row r="216" spans="5:28" x14ac:dyDescent="0.25">
      <c r="E216" s="4"/>
      <c r="N216" s="61"/>
      <c r="O216" s="61"/>
      <c r="U216" s="4"/>
      <c r="V216" s="84"/>
      <c r="AA216" t="str">
        <f>IF(realTime!AA216="","",realTime!AA216)</f>
        <v/>
      </c>
      <c r="AB216" t="str">
        <f>IF(realTime!AB216="","",realTime!AB216)</f>
        <v/>
      </c>
    </row>
    <row r="217" spans="5:28" x14ac:dyDescent="0.25">
      <c r="E217" s="4"/>
      <c r="N217" s="61"/>
      <c r="O217" s="61"/>
      <c r="U217" s="4"/>
      <c r="V217" s="84"/>
      <c r="AA217" t="str">
        <f>IF(realTime!AA217="","",realTime!AA217)</f>
        <v/>
      </c>
      <c r="AB217" t="str">
        <f>IF(realTime!AB217="","",realTime!AB217)</f>
        <v/>
      </c>
    </row>
    <row r="218" spans="5:28" x14ac:dyDescent="0.25">
      <c r="E218" s="4"/>
      <c r="N218" s="61"/>
      <c r="O218" s="61"/>
      <c r="U218" s="4"/>
      <c r="V218" s="84"/>
      <c r="AA218" t="str">
        <f>IF(realTime!AA218="","",realTime!AA218)</f>
        <v/>
      </c>
      <c r="AB218" t="str">
        <f>IF(realTime!AB218="","",realTime!AB218)</f>
        <v/>
      </c>
    </row>
    <row r="219" spans="5:28" x14ac:dyDescent="0.25">
      <c r="E219" s="4"/>
      <c r="N219" s="61"/>
      <c r="O219" s="61"/>
      <c r="U219" s="4"/>
      <c r="V219" s="84"/>
      <c r="AA219" t="str">
        <f>IF(realTime!AA219="","",realTime!AA219)</f>
        <v/>
      </c>
      <c r="AB219" t="str">
        <f>IF(realTime!AB219="","",realTime!AB219)</f>
        <v/>
      </c>
    </row>
    <row r="220" spans="5:28" x14ac:dyDescent="0.25">
      <c r="E220" s="4"/>
      <c r="N220" s="61"/>
      <c r="O220" s="61"/>
      <c r="U220" s="4"/>
      <c r="V220" s="84"/>
      <c r="AA220" t="str">
        <f>IF(realTime!AA220="","",realTime!AA220)</f>
        <v/>
      </c>
      <c r="AB220" t="str">
        <f>IF(realTime!AB220="","",realTime!AB220)</f>
        <v/>
      </c>
    </row>
    <row r="221" spans="5:28" x14ac:dyDescent="0.25">
      <c r="E221" s="4"/>
      <c r="N221" s="61"/>
      <c r="O221" s="61"/>
      <c r="U221" s="4"/>
      <c r="V221" s="84"/>
      <c r="AA221" t="str">
        <f>IF(realTime!AA221="","",realTime!AA221)</f>
        <v/>
      </c>
      <c r="AB221" t="str">
        <f>IF(realTime!AB221="","",realTime!AB221)</f>
        <v/>
      </c>
    </row>
    <row r="222" spans="5:28" x14ac:dyDescent="0.25">
      <c r="E222" s="4"/>
      <c r="N222" s="61"/>
      <c r="O222" s="61"/>
      <c r="U222" s="4"/>
      <c r="V222" s="84"/>
      <c r="AA222" t="str">
        <f>IF(realTime!AA222="","",realTime!AA222)</f>
        <v/>
      </c>
      <c r="AB222" t="str">
        <f>IF(realTime!AB222="","",realTime!AB222)</f>
        <v/>
      </c>
    </row>
    <row r="223" spans="5:28" x14ac:dyDescent="0.25">
      <c r="E223" s="4"/>
      <c r="N223" s="61"/>
      <c r="O223" s="61"/>
      <c r="U223" s="4"/>
      <c r="V223" s="84"/>
      <c r="AA223" t="str">
        <f>IF(realTime!AA223="","",realTime!AA223)</f>
        <v/>
      </c>
      <c r="AB223" t="str">
        <f>IF(realTime!AB223="","",realTime!AB223)</f>
        <v/>
      </c>
    </row>
    <row r="224" spans="5:28" x14ac:dyDescent="0.25">
      <c r="E224" s="4"/>
      <c r="N224" s="61"/>
      <c r="O224" s="61"/>
      <c r="U224" s="4"/>
      <c r="V224" s="84"/>
      <c r="AA224" t="str">
        <f>IF(realTime!AA224="","",realTime!AA224)</f>
        <v/>
      </c>
      <c r="AB224" t="str">
        <f>IF(realTime!AB224="","",realTime!AB224)</f>
        <v/>
      </c>
    </row>
    <row r="225" spans="5:28" x14ac:dyDescent="0.25">
      <c r="E225" s="4"/>
      <c r="N225" s="61"/>
      <c r="O225" s="61"/>
      <c r="U225" s="4"/>
      <c r="V225" s="84"/>
      <c r="AA225" t="str">
        <f>IF(realTime!AA225="","",realTime!AA225)</f>
        <v/>
      </c>
      <c r="AB225" t="str">
        <f>IF(realTime!AB225="","",realTime!AB225)</f>
        <v/>
      </c>
    </row>
    <row r="226" spans="5:28" x14ac:dyDescent="0.25">
      <c r="E226" s="4"/>
      <c r="N226" s="61"/>
      <c r="O226" s="61"/>
      <c r="U226" s="4"/>
      <c r="V226" s="84"/>
      <c r="AA226" t="str">
        <f>IF(realTime!AA226="","",realTime!AA226)</f>
        <v/>
      </c>
      <c r="AB226" t="str">
        <f>IF(realTime!AB226="","",realTime!AB226)</f>
        <v/>
      </c>
    </row>
    <row r="227" spans="5:28" x14ac:dyDescent="0.25">
      <c r="E227" s="4"/>
      <c r="N227" s="61"/>
      <c r="O227" s="61"/>
      <c r="U227" s="4"/>
      <c r="V227" s="84"/>
      <c r="AA227" t="str">
        <f>IF(realTime!AA227="","",realTime!AA227)</f>
        <v/>
      </c>
      <c r="AB227" t="str">
        <f>IF(realTime!AB227="","",realTime!AB227)</f>
        <v/>
      </c>
    </row>
    <row r="228" spans="5:28" x14ac:dyDescent="0.25">
      <c r="E228" s="4"/>
      <c r="N228" s="61"/>
      <c r="O228" s="61"/>
      <c r="U228" s="4"/>
      <c r="V228" s="84"/>
      <c r="AA228" t="str">
        <f>IF(realTime!AA228="","",realTime!AA228)</f>
        <v/>
      </c>
      <c r="AB228" t="str">
        <f>IF(realTime!AB228="","",realTime!AB228)</f>
        <v/>
      </c>
    </row>
    <row r="229" spans="5:28" x14ac:dyDescent="0.25">
      <c r="E229" s="4"/>
      <c r="N229" s="61"/>
      <c r="O229" s="61"/>
      <c r="U229" s="4"/>
      <c r="V229" s="84"/>
      <c r="AA229" t="str">
        <f>IF(realTime!AA229="","",realTime!AA229)</f>
        <v/>
      </c>
      <c r="AB229" t="str">
        <f>IF(realTime!AB229="","",realTime!AB229)</f>
        <v/>
      </c>
    </row>
    <row r="230" spans="5:28" x14ac:dyDescent="0.25">
      <c r="E230" s="4"/>
      <c r="N230" s="61"/>
      <c r="O230" s="61"/>
      <c r="U230" s="4"/>
      <c r="V230" s="84"/>
      <c r="AA230" t="str">
        <f>IF(realTime!AA230="","",realTime!AA230)</f>
        <v/>
      </c>
      <c r="AB230" t="str">
        <f>IF(realTime!AB230="","",realTime!AB230)</f>
        <v/>
      </c>
    </row>
    <row r="231" spans="5:28" x14ac:dyDescent="0.25">
      <c r="E231" s="4"/>
      <c r="N231" s="61"/>
      <c r="O231" s="61"/>
      <c r="U231" s="4"/>
      <c r="V231" s="84"/>
      <c r="AA231" t="str">
        <f>IF(realTime!AA231="","",realTime!AA231)</f>
        <v/>
      </c>
      <c r="AB231" t="str">
        <f>IF(realTime!AB231="","",realTime!AB231)</f>
        <v/>
      </c>
    </row>
    <row r="232" spans="5:28" x14ac:dyDescent="0.25">
      <c r="E232" s="4"/>
      <c r="N232" s="61"/>
      <c r="O232" s="61"/>
      <c r="U232" s="4"/>
      <c r="V232" s="84"/>
      <c r="AA232" t="str">
        <f>IF(realTime!AA232="","",realTime!AA232)</f>
        <v/>
      </c>
      <c r="AB232" t="str">
        <f>IF(realTime!AB232="","",realTime!AB232)</f>
        <v/>
      </c>
    </row>
    <row r="233" spans="5:28" x14ac:dyDescent="0.25">
      <c r="E233" s="4"/>
      <c r="N233" s="61"/>
      <c r="O233" s="61"/>
      <c r="U233" s="4"/>
      <c r="V233" s="84"/>
      <c r="AA233" t="str">
        <f>IF(realTime!AA233="","",realTime!AA233)</f>
        <v/>
      </c>
      <c r="AB233" t="str">
        <f>IF(realTime!AB233="","",realTime!AB233)</f>
        <v/>
      </c>
    </row>
    <row r="234" spans="5:28" x14ac:dyDescent="0.25">
      <c r="E234" s="4"/>
      <c r="N234" s="61"/>
      <c r="O234" s="61"/>
      <c r="U234" s="4"/>
      <c r="V234" s="84"/>
      <c r="AA234" t="str">
        <f>IF(realTime!AA234="","",realTime!AA234)</f>
        <v/>
      </c>
      <c r="AB234" t="str">
        <f>IF(realTime!AB234="","",realTime!AB234)</f>
        <v/>
      </c>
    </row>
    <row r="235" spans="5:28" x14ac:dyDescent="0.25">
      <c r="E235" s="4"/>
      <c r="N235" s="61"/>
      <c r="O235" s="61"/>
      <c r="U235" s="4"/>
      <c r="V235" s="84"/>
      <c r="AA235" t="str">
        <f>IF(realTime!AA235="","",realTime!AA235)</f>
        <v/>
      </c>
      <c r="AB235" t="str">
        <f>IF(realTime!AB235="","",realTime!AB235)</f>
        <v/>
      </c>
    </row>
    <row r="236" spans="5:28" x14ac:dyDescent="0.25">
      <c r="E236" s="4"/>
      <c r="N236" s="61"/>
      <c r="O236" s="61"/>
      <c r="U236" s="4"/>
      <c r="V236" s="84"/>
      <c r="AA236" t="str">
        <f>IF(realTime!AA236="","",realTime!AA236)</f>
        <v/>
      </c>
      <c r="AB236" t="str">
        <f>IF(realTime!AB236="","",realTime!AB236)</f>
        <v/>
      </c>
    </row>
    <row r="237" spans="5:28" x14ac:dyDescent="0.25">
      <c r="E237" s="4"/>
      <c r="N237" s="61"/>
      <c r="O237" s="61"/>
      <c r="U237" s="4"/>
      <c r="V237" s="84"/>
      <c r="AA237" t="str">
        <f>IF(realTime!AA237="","",realTime!AA237)</f>
        <v/>
      </c>
      <c r="AB237" t="str">
        <f>IF(realTime!AB237="","",realTime!AB237)</f>
        <v/>
      </c>
    </row>
    <row r="238" spans="5:28" x14ac:dyDescent="0.25">
      <c r="E238" s="4"/>
      <c r="N238" s="61"/>
      <c r="O238" s="61"/>
      <c r="U238" s="4"/>
      <c r="V238" s="84"/>
      <c r="AA238" t="str">
        <f>IF(realTime!AA238="","",realTime!AA238)</f>
        <v/>
      </c>
      <c r="AB238" t="str">
        <f>IF(realTime!AB238="","",realTime!AB238)</f>
        <v/>
      </c>
    </row>
    <row r="239" spans="5:28" x14ac:dyDescent="0.25">
      <c r="E239" s="4"/>
      <c r="N239" s="61"/>
      <c r="O239" s="61"/>
      <c r="U239" s="4"/>
      <c r="V239" s="84"/>
      <c r="AA239" t="str">
        <f>IF(realTime!AA239="","",realTime!AA239)</f>
        <v/>
      </c>
      <c r="AB239" t="str">
        <f>IF(realTime!AB239="","",realTime!AB239)</f>
        <v/>
      </c>
    </row>
    <row r="240" spans="5:28" x14ac:dyDescent="0.25">
      <c r="E240" s="4"/>
      <c r="N240" s="61"/>
      <c r="O240" s="61"/>
      <c r="U240" s="4"/>
      <c r="V240" s="84"/>
      <c r="AA240" t="str">
        <f>IF(realTime!AA240="","",realTime!AA240)</f>
        <v/>
      </c>
      <c r="AB240" t="str">
        <f>IF(realTime!AB240="","",realTime!AB240)</f>
        <v/>
      </c>
    </row>
    <row r="241" spans="5:28" x14ac:dyDescent="0.25">
      <c r="E241" s="4"/>
      <c r="N241" s="61"/>
      <c r="O241" s="61"/>
      <c r="U241" s="4"/>
      <c r="V241" s="84"/>
      <c r="AA241" t="str">
        <f>IF(realTime!AA241="","",realTime!AA241)</f>
        <v/>
      </c>
      <c r="AB241" t="str">
        <f>IF(realTime!AB241="","",realTime!AB241)</f>
        <v/>
      </c>
    </row>
    <row r="242" spans="5:28" x14ac:dyDescent="0.25">
      <c r="E242" s="4"/>
      <c r="N242" s="61"/>
      <c r="O242" s="61"/>
      <c r="U242" s="4"/>
      <c r="V242" s="84"/>
      <c r="AA242" t="str">
        <f>IF(realTime!AA242="","",realTime!AA242)</f>
        <v/>
      </c>
      <c r="AB242" t="str">
        <f>IF(realTime!AB242="","",realTime!AB242)</f>
        <v/>
      </c>
    </row>
    <row r="243" spans="5:28" x14ac:dyDescent="0.25">
      <c r="E243" s="4"/>
      <c r="N243" s="61"/>
      <c r="O243" s="61"/>
      <c r="U243" s="4"/>
      <c r="V243" s="84"/>
      <c r="AA243" t="str">
        <f>IF(realTime!AA243="","",realTime!AA243)</f>
        <v/>
      </c>
      <c r="AB243" t="str">
        <f>IF(realTime!AB243="","",realTime!AB243)</f>
        <v/>
      </c>
    </row>
    <row r="244" spans="5:28" x14ac:dyDescent="0.25">
      <c r="E244" s="4"/>
      <c r="N244" s="61"/>
      <c r="O244" s="61"/>
      <c r="U244" s="4"/>
      <c r="V244" s="84"/>
      <c r="AA244" t="str">
        <f>IF(realTime!AA244="","",realTime!AA244)</f>
        <v/>
      </c>
      <c r="AB244" t="str">
        <f>IF(realTime!AB244="","",realTime!AB244)</f>
        <v/>
      </c>
    </row>
    <row r="245" spans="5:28" x14ac:dyDescent="0.25">
      <c r="E245" s="4"/>
      <c r="N245" s="61"/>
      <c r="O245" s="61"/>
      <c r="U245" s="4"/>
      <c r="V245" s="84"/>
      <c r="AA245" t="str">
        <f>IF(realTime!AA245="","",realTime!AA245)</f>
        <v/>
      </c>
      <c r="AB245" t="str">
        <f>IF(realTime!AB245="","",realTime!AB245)</f>
        <v/>
      </c>
    </row>
    <row r="246" spans="5:28" x14ac:dyDescent="0.25">
      <c r="E246" s="4"/>
      <c r="N246" s="61"/>
      <c r="O246" s="61"/>
      <c r="U246" s="4"/>
      <c r="V246" s="84"/>
      <c r="AA246" t="str">
        <f>IF(realTime!AA246="","",realTime!AA246)</f>
        <v/>
      </c>
      <c r="AB246" t="str">
        <f>IF(realTime!AB246="","",realTime!AB246)</f>
        <v/>
      </c>
    </row>
    <row r="247" spans="5:28" x14ac:dyDescent="0.25">
      <c r="E247" s="4"/>
      <c r="N247" s="61"/>
      <c r="O247" s="61"/>
      <c r="U247" s="4"/>
      <c r="V247" s="84"/>
      <c r="AA247" t="str">
        <f>IF(realTime!AA247="","",realTime!AA247)</f>
        <v/>
      </c>
      <c r="AB247" t="str">
        <f>IF(realTime!AB247="","",realTime!AB247)</f>
        <v/>
      </c>
    </row>
    <row r="248" spans="5:28" x14ac:dyDescent="0.25">
      <c r="E248" s="4"/>
      <c r="N248" s="61"/>
      <c r="O248" s="61"/>
      <c r="U248" s="4"/>
      <c r="V248" s="84"/>
      <c r="AA248" t="str">
        <f>IF(realTime!AA248="","",realTime!AA248)</f>
        <v/>
      </c>
      <c r="AB248" t="str">
        <f>IF(realTime!AB248="","",realTime!AB248)</f>
        <v/>
      </c>
    </row>
    <row r="249" spans="5:28" x14ac:dyDescent="0.25">
      <c r="E249" s="4"/>
      <c r="N249" s="61"/>
      <c r="O249" s="61"/>
      <c r="U249" s="4"/>
      <c r="V249" s="84"/>
      <c r="AA249" t="str">
        <f>IF(realTime!AA249="","",realTime!AA249)</f>
        <v/>
      </c>
      <c r="AB249" t="str">
        <f>IF(realTime!AB249="","",realTime!AB249)</f>
        <v/>
      </c>
    </row>
    <row r="250" spans="5:28" x14ac:dyDescent="0.25">
      <c r="E250" s="4"/>
      <c r="N250" s="61"/>
      <c r="O250" s="61"/>
      <c r="U250" s="4"/>
      <c r="V250" s="84"/>
      <c r="AA250" t="str">
        <f>IF(realTime!AA250="","",realTime!AA250)</f>
        <v/>
      </c>
      <c r="AB250" t="str">
        <f>IF(realTime!AB250="","",realTime!AB250)</f>
        <v/>
      </c>
    </row>
    <row r="251" spans="5:28" x14ac:dyDescent="0.25">
      <c r="E251" s="4"/>
      <c r="N251" s="61"/>
      <c r="O251" s="61"/>
      <c r="U251" s="4"/>
      <c r="V251" s="84"/>
      <c r="AA251" t="str">
        <f>IF(realTime!AA251="","",realTime!AA251)</f>
        <v/>
      </c>
      <c r="AB251" t="str">
        <f>IF(realTime!AB251="","",realTime!AB251)</f>
        <v/>
      </c>
    </row>
    <row r="252" spans="5:28" x14ac:dyDescent="0.25">
      <c r="E252" s="4"/>
      <c r="N252" s="61"/>
      <c r="O252" s="61"/>
      <c r="U252" s="4"/>
      <c r="V252" s="84"/>
      <c r="AA252" t="str">
        <f>IF(realTime!AA252="","",realTime!AA252)</f>
        <v/>
      </c>
      <c r="AB252" t="str">
        <f>IF(realTime!AB252="","",realTime!AB252)</f>
        <v/>
      </c>
    </row>
    <row r="253" spans="5:28" x14ac:dyDescent="0.25">
      <c r="E253" s="4"/>
      <c r="N253" s="61"/>
      <c r="O253" s="61"/>
      <c r="U253" s="4"/>
      <c r="V253" s="84"/>
      <c r="AA253" t="str">
        <f>IF(realTime!AA253="","",realTime!AA253)</f>
        <v/>
      </c>
      <c r="AB253" t="str">
        <f>IF(realTime!AB253="","",realTime!AB253)</f>
        <v/>
      </c>
    </row>
    <row r="254" spans="5:28" x14ac:dyDescent="0.25">
      <c r="E254" s="4"/>
      <c r="N254" s="61"/>
      <c r="O254" s="61"/>
      <c r="U254" s="4"/>
      <c r="V254" s="84"/>
      <c r="AA254" t="str">
        <f>IF(realTime!AA254="","",realTime!AA254)</f>
        <v/>
      </c>
      <c r="AB254" t="str">
        <f>IF(realTime!AB254="","",realTime!AB254)</f>
        <v/>
      </c>
    </row>
    <row r="255" spans="5:28" x14ac:dyDescent="0.25">
      <c r="E255" s="4"/>
      <c r="N255" s="61"/>
      <c r="O255" s="61"/>
      <c r="U255" s="4"/>
      <c r="V255" s="84"/>
      <c r="AA255" t="str">
        <f>IF(realTime!AA255="","",realTime!AA255)</f>
        <v/>
      </c>
      <c r="AB255" t="str">
        <f>IF(realTime!AB255="","",realTime!AB255)</f>
        <v/>
      </c>
    </row>
    <row r="256" spans="5:28" x14ac:dyDescent="0.25">
      <c r="E256" s="4"/>
      <c r="N256" s="61"/>
      <c r="O256" s="61"/>
      <c r="U256" s="4"/>
      <c r="V256" s="84"/>
      <c r="AA256" t="str">
        <f>IF(realTime!AA256="","",realTime!AA256)</f>
        <v/>
      </c>
      <c r="AB256" t="str">
        <f>IF(realTime!AB256="","",realTime!AB256)</f>
        <v/>
      </c>
    </row>
    <row r="257" spans="5:28" x14ac:dyDescent="0.25">
      <c r="E257" s="4"/>
      <c r="N257" s="61"/>
      <c r="O257" s="61"/>
      <c r="U257" s="4"/>
      <c r="V257" s="84"/>
      <c r="AA257" t="str">
        <f>IF(realTime!AA257="","",realTime!AA257)</f>
        <v/>
      </c>
      <c r="AB257" t="str">
        <f>IF(realTime!AB257="","",realTime!AB257)</f>
        <v/>
      </c>
    </row>
    <row r="258" spans="5:28" x14ac:dyDescent="0.25">
      <c r="E258" s="4"/>
      <c r="N258" s="61"/>
      <c r="O258" s="61"/>
      <c r="U258" s="4"/>
      <c r="V258" s="84"/>
      <c r="AA258" t="str">
        <f>IF(realTime!AA258="","",realTime!AA258)</f>
        <v/>
      </c>
      <c r="AB258" t="str">
        <f>IF(realTime!AB258="","",realTime!AB258)</f>
        <v/>
      </c>
    </row>
    <row r="259" spans="5:28" x14ac:dyDescent="0.25">
      <c r="E259" s="4"/>
      <c r="N259" s="61"/>
      <c r="O259" s="61"/>
      <c r="U259" s="4"/>
      <c r="V259" s="84"/>
      <c r="AA259" t="str">
        <f>IF(realTime!AA259="","",realTime!AA259)</f>
        <v/>
      </c>
      <c r="AB259" t="str">
        <f>IF(realTime!AB259="","",realTime!AB259)</f>
        <v/>
      </c>
    </row>
    <row r="260" spans="5:28" x14ac:dyDescent="0.25">
      <c r="E260" s="4"/>
      <c r="N260" s="61"/>
      <c r="O260" s="61"/>
      <c r="U260" s="4"/>
      <c r="V260" s="84"/>
      <c r="AA260" t="str">
        <f>IF(realTime!AA260="","",realTime!AA260)</f>
        <v/>
      </c>
      <c r="AB260" t="str">
        <f>IF(realTime!AB260="","",realTime!AB260)</f>
        <v/>
      </c>
    </row>
    <row r="261" spans="5:28" x14ac:dyDescent="0.25">
      <c r="E261" s="4"/>
      <c r="N261" s="61"/>
      <c r="O261" s="61"/>
      <c r="U261" s="4"/>
      <c r="V261" s="84"/>
      <c r="AA261" t="str">
        <f>IF(realTime!AA261="","",realTime!AA261)</f>
        <v/>
      </c>
      <c r="AB261" t="str">
        <f>IF(realTime!AB261="","",realTime!AB261)</f>
        <v/>
      </c>
    </row>
    <row r="262" spans="5:28" x14ac:dyDescent="0.25">
      <c r="E262" s="4"/>
      <c r="N262" s="61"/>
      <c r="O262" s="61"/>
      <c r="U262" s="4"/>
      <c r="V262" s="84"/>
      <c r="AA262" t="str">
        <f>IF(realTime!AA262="","",realTime!AA262)</f>
        <v/>
      </c>
      <c r="AB262" t="str">
        <f>IF(realTime!AB262="","",realTime!AB262)</f>
        <v/>
      </c>
    </row>
    <row r="263" spans="5:28" x14ac:dyDescent="0.25">
      <c r="E263" s="4"/>
      <c r="N263" s="61"/>
      <c r="O263" s="61"/>
      <c r="U263" s="4"/>
      <c r="V263" s="84"/>
      <c r="AA263" t="str">
        <f>IF(realTime!AA263="","",realTime!AA263)</f>
        <v/>
      </c>
      <c r="AB263" t="str">
        <f>IF(realTime!AB263="","",realTime!AB263)</f>
        <v/>
      </c>
    </row>
    <row r="264" spans="5:28" x14ac:dyDescent="0.25">
      <c r="E264" s="4"/>
      <c r="N264" s="61"/>
      <c r="O264" s="61"/>
      <c r="U264" s="4"/>
      <c r="V264" s="84"/>
      <c r="AA264" t="str">
        <f>IF(realTime!AA264="","",realTime!AA264)</f>
        <v/>
      </c>
      <c r="AB264" t="str">
        <f>IF(realTime!AB264="","",realTime!AB264)</f>
        <v/>
      </c>
    </row>
    <row r="265" spans="5:28" x14ac:dyDescent="0.25">
      <c r="E265" s="4"/>
      <c r="N265" s="61"/>
      <c r="O265" s="61"/>
      <c r="U265" s="4"/>
      <c r="V265" s="84"/>
      <c r="AA265" t="str">
        <f>IF(realTime!AA265="","",realTime!AA265)</f>
        <v/>
      </c>
      <c r="AB265" t="str">
        <f>IF(realTime!AB265="","",realTime!AB265)</f>
        <v/>
      </c>
    </row>
    <row r="266" spans="5:28" x14ac:dyDescent="0.25">
      <c r="E266" s="4"/>
      <c r="N266" s="61"/>
      <c r="O266" s="61"/>
      <c r="U266" s="4"/>
      <c r="V266" s="84"/>
      <c r="AA266" t="str">
        <f>IF(realTime!AA266="","",realTime!AA266)</f>
        <v/>
      </c>
      <c r="AB266" t="str">
        <f>IF(realTime!AB266="","",realTime!AB266)</f>
        <v/>
      </c>
    </row>
    <row r="267" spans="5:28" x14ac:dyDescent="0.25">
      <c r="E267" s="4"/>
      <c r="N267" s="61"/>
      <c r="O267" s="61"/>
      <c r="U267" s="4"/>
      <c r="V267" s="84"/>
      <c r="AA267" t="str">
        <f>IF(realTime!AA267="","",realTime!AA267)</f>
        <v/>
      </c>
      <c r="AB267" t="str">
        <f>IF(realTime!AB267="","",realTime!AB267)</f>
        <v/>
      </c>
    </row>
    <row r="268" spans="5:28" x14ac:dyDescent="0.25">
      <c r="E268" s="4"/>
      <c r="N268" s="61"/>
      <c r="O268" s="61"/>
      <c r="U268" s="4"/>
      <c r="V268" s="84"/>
      <c r="AA268" t="str">
        <f>IF(realTime!AA268="","",realTime!AA268)</f>
        <v/>
      </c>
      <c r="AB268" t="str">
        <f>IF(realTime!AB268="","",realTime!AB268)</f>
        <v/>
      </c>
    </row>
    <row r="269" spans="5:28" x14ac:dyDescent="0.25">
      <c r="E269" s="4"/>
      <c r="N269" s="61"/>
      <c r="O269" s="61"/>
      <c r="U269" s="4"/>
      <c r="V269" s="84"/>
      <c r="AA269" t="str">
        <f>IF(realTime!AA269="","",realTime!AA269)</f>
        <v/>
      </c>
      <c r="AB269" t="str">
        <f>IF(realTime!AB269="","",realTime!AB269)</f>
        <v/>
      </c>
    </row>
    <row r="270" spans="5:28" x14ac:dyDescent="0.25">
      <c r="E270" s="4"/>
      <c r="N270" s="61"/>
      <c r="O270" s="61"/>
      <c r="U270" s="4"/>
      <c r="V270" s="84"/>
      <c r="AA270" t="str">
        <f>IF(realTime!AA270="","",realTime!AA270)</f>
        <v/>
      </c>
      <c r="AB270" t="str">
        <f>IF(realTime!AB270="","",realTime!AB270)</f>
        <v/>
      </c>
    </row>
    <row r="271" spans="5:28" x14ac:dyDescent="0.25">
      <c r="E271" s="4"/>
      <c r="N271" s="61"/>
      <c r="O271" s="61"/>
      <c r="U271" s="4"/>
      <c r="V271" s="84"/>
      <c r="AA271" t="str">
        <f>IF(realTime!AA271="","",realTime!AA271)</f>
        <v/>
      </c>
      <c r="AB271" t="str">
        <f>IF(realTime!AB271="","",realTime!AB271)</f>
        <v/>
      </c>
    </row>
    <row r="272" spans="5:28" x14ac:dyDescent="0.25">
      <c r="E272" s="4"/>
      <c r="N272" s="61"/>
      <c r="O272" s="61"/>
      <c r="U272" s="4"/>
      <c r="V272" s="84"/>
      <c r="AA272" t="str">
        <f>IF(realTime!AA272="","",realTime!AA272)</f>
        <v/>
      </c>
      <c r="AB272" t="str">
        <f>IF(realTime!AB272="","",realTime!AB272)</f>
        <v/>
      </c>
    </row>
    <row r="273" spans="5:28" x14ac:dyDescent="0.25">
      <c r="E273" s="4"/>
      <c r="N273" s="61"/>
      <c r="O273" s="61"/>
      <c r="U273" s="4"/>
      <c r="V273" s="84"/>
      <c r="AA273" t="str">
        <f>IF(realTime!AA273="","",realTime!AA273)</f>
        <v/>
      </c>
      <c r="AB273" t="str">
        <f>IF(realTime!AB273="","",realTime!AB273)</f>
        <v/>
      </c>
    </row>
    <row r="274" spans="5:28" x14ac:dyDescent="0.25">
      <c r="E274" s="4"/>
      <c r="N274" s="61"/>
      <c r="O274" s="61"/>
      <c r="U274" s="4"/>
      <c r="V274" s="84"/>
      <c r="AA274" t="str">
        <f>IF(realTime!AA274="","",realTime!AA274)</f>
        <v/>
      </c>
      <c r="AB274" t="str">
        <f>IF(realTime!AB274="","",realTime!AB274)</f>
        <v/>
      </c>
    </row>
    <row r="275" spans="5:28" x14ac:dyDescent="0.25">
      <c r="E275" s="4"/>
      <c r="N275" s="61"/>
      <c r="O275" s="61"/>
      <c r="U275" s="4"/>
      <c r="V275" s="84"/>
      <c r="AA275" t="str">
        <f>IF(realTime!AA275="","",realTime!AA275)</f>
        <v/>
      </c>
      <c r="AB275" t="str">
        <f>IF(realTime!AB275="","",realTime!AB275)</f>
        <v/>
      </c>
    </row>
    <row r="276" spans="5:28" x14ac:dyDescent="0.25">
      <c r="E276" s="4"/>
      <c r="N276" s="61"/>
      <c r="O276" s="61"/>
      <c r="U276" s="4"/>
      <c r="V276" s="84"/>
      <c r="AA276" t="str">
        <f>IF(realTime!AA276="","",realTime!AA276)</f>
        <v/>
      </c>
      <c r="AB276" t="str">
        <f>IF(realTime!AB276="","",realTime!AB276)</f>
        <v/>
      </c>
    </row>
    <row r="277" spans="5:28" x14ac:dyDescent="0.25">
      <c r="E277" s="4"/>
      <c r="N277" s="61"/>
      <c r="O277" s="61"/>
      <c r="U277" s="4"/>
      <c r="V277" s="84"/>
      <c r="AA277" t="str">
        <f>IF(realTime!AA277="","",realTime!AA277)</f>
        <v/>
      </c>
      <c r="AB277" t="str">
        <f>IF(realTime!AB277="","",realTime!AB277)</f>
        <v/>
      </c>
    </row>
    <row r="278" spans="5:28" x14ac:dyDescent="0.25">
      <c r="E278" s="4"/>
      <c r="N278" s="61"/>
      <c r="O278" s="61"/>
      <c r="U278" s="4"/>
      <c r="V278" s="84"/>
      <c r="AA278" t="str">
        <f>IF(realTime!AA278="","",realTime!AA278)</f>
        <v/>
      </c>
      <c r="AB278" t="str">
        <f>IF(realTime!AB278="","",realTime!AB278)</f>
        <v/>
      </c>
    </row>
    <row r="279" spans="5:28" x14ac:dyDescent="0.25">
      <c r="E279" s="4"/>
      <c r="N279" s="61"/>
      <c r="O279" s="61"/>
      <c r="U279" s="4"/>
      <c r="V279" s="84"/>
      <c r="AA279" t="str">
        <f>IF(realTime!AA279="","",realTime!AA279)</f>
        <v/>
      </c>
      <c r="AB279" t="str">
        <f>IF(realTime!AB279="","",realTime!AB279)</f>
        <v/>
      </c>
    </row>
    <row r="280" spans="5:28" x14ac:dyDescent="0.25">
      <c r="E280" s="4"/>
      <c r="N280" s="61"/>
      <c r="O280" s="61"/>
      <c r="U280" s="4"/>
      <c r="V280" s="84"/>
      <c r="AA280" t="str">
        <f>IF(realTime!AA280="","",realTime!AA280)</f>
        <v/>
      </c>
      <c r="AB280" t="str">
        <f>IF(realTime!AB280="","",realTime!AB280)</f>
        <v/>
      </c>
    </row>
    <row r="281" spans="5:28" x14ac:dyDescent="0.25">
      <c r="E281" s="4"/>
      <c r="N281" s="61"/>
      <c r="O281" s="61"/>
      <c r="U281" s="4"/>
      <c r="V281" s="84"/>
      <c r="AA281" t="str">
        <f>IF(realTime!AA281="","",realTime!AA281)</f>
        <v/>
      </c>
      <c r="AB281" t="str">
        <f>IF(realTime!AB281="","",realTime!AB281)</f>
        <v/>
      </c>
    </row>
    <row r="282" spans="5:28" x14ac:dyDescent="0.25">
      <c r="E282" s="4"/>
      <c r="N282" s="61"/>
      <c r="O282" s="61"/>
      <c r="U282" s="4"/>
      <c r="V282" s="84"/>
      <c r="AA282" t="str">
        <f>IF(realTime!AA282="","",realTime!AA282)</f>
        <v/>
      </c>
      <c r="AB282" t="str">
        <f>IF(realTime!AB282="","",realTime!AB282)</f>
        <v/>
      </c>
    </row>
    <row r="283" spans="5:28" x14ac:dyDescent="0.25">
      <c r="E283" s="4"/>
      <c r="N283" s="61"/>
      <c r="O283" s="61"/>
      <c r="U283" s="4"/>
      <c r="V283" s="84"/>
      <c r="AA283" t="str">
        <f>IF(realTime!AA283="","",realTime!AA283)</f>
        <v/>
      </c>
      <c r="AB283" t="str">
        <f>IF(realTime!AB283="","",realTime!AB283)</f>
        <v/>
      </c>
    </row>
    <row r="284" spans="5:28" x14ac:dyDescent="0.25">
      <c r="E284" s="4"/>
      <c r="N284" s="61"/>
      <c r="O284" s="61"/>
      <c r="U284" s="4"/>
      <c r="V284" s="84"/>
      <c r="AA284" t="str">
        <f>IF(realTime!AA284="","",realTime!AA284)</f>
        <v/>
      </c>
      <c r="AB284" t="str">
        <f>IF(realTime!AB284="","",realTime!AB284)</f>
        <v/>
      </c>
    </row>
    <row r="285" spans="5:28" x14ac:dyDescent="0.25">
      <c r="E285" s="4"/>
      <c r="N285" s="61"/>
      <c r="O285" s="61"/>
      <c r="U285" s="4"/>
      <c r="V285" s="84"/>
      <c r="AA285" t="str">
        <f>IF(realTime!AA285="","",realTime!AA285)</f>
        <v/>
      </c>
      <c r="AB285" t="str">
        <f>IF(realTime!AB285="","",realTime!AB285)</f>
        <v/>
      </c>
    </row>
    <row r="286" spans="5:28" x14ac:dyDescent="0.25">
      <c r="E286" s="4"/>
      <c r="N286" s="61"/>
      <c r="O286" s="61"/>
      <c r="U286" s="4"/>
      <c r="V286" s="84"/>
      <c r="AA286" t="str">
        <f>IF(realTime!AA286="","",realTime!AA286)</f>
        <v/>
      </c>
      <c r="AB286" t="str">
        <f>IF(realTime!AB286="","",realTime!AB286)</f>
        <v/>
      </c>
    </row>
    <row r="287" spans="5:28" x14ac:dyDescent="0.25">
      <c r="E287" s="4"/>
      <c r="N287" s="61"/>
      <c r="O287" s="61"/>
      <c r="U287" s="4"/>
      <c r="V287" s="84"/>
      <c r="AA287" t="str">
        <f>IF(realTime!AA287="","",realTime!AA287)</f>
        <v/>
      </c>
      <c r="AB287" t="str">
        <f>IF(realTime!AB287="","",realTime!AB287)</f>
        <v/>
      </c>
    </row>
    <row r="288" spans="5:28" x14ac:dyDescent="0.25">
      <c r="E288" s="4"/>
      <c r="N288" s="61"/>
      <c r="O288" s="61"/>
      <c r="U288" s="4"/>
      <c r="V288" s="84"/>
      <c r="AA288" t="str">
        <f>IF(realTime!AA288="","",realTime!AA288)</f>
        <v/>
      </c>
      <c r="AB288" t="str">
        <f>IF(realTime!AB288="","",realTime!AB288)</f>
        <v/>
      </c>
    </row>
    <row r="289" spans="5:28" x14ac:dyDescent="0.25">
      <c r="E289" s="4"/>
      <c r="N289" s="61"/>
      <c r="O289" s="61"/>
      <c r="U289" s="4"/>
      <c r="V289" s="84"/>
      <c r="AA289" t="str">
        <f>IF(realTime!AA289="","",realTime!AA289)</f>
        <v/>
      </c>
      <c r="AB289" t="str">
        <f>IF(realTime!AB289="","",realTime!AB289)</f>
        <v/>
      </c>
    </row>
    <row r="290" spans="5:28" x14ac:dyDescent="0.25">
      <c r="E290" s="4"/>
      <c r="N290" s="61"/>
      <c r="O290" s="61"/>
      <c r="U290" s="4"/>
      <c r="V290" s="84"/>
      <c r="AA290" t="str">
        <f>IF(realTime!AA290="","",realTime!AA290)</f>
        <v/>
      </c>
      <c r="AB290" t="str">
        <f>IF(realTime!AB290="","",realTime!AB290)</f>
        <v/>
      </c>
    </row>
    <row r="291" spans="5:28" x14ac:dyDescent="0.25">
      <c r="E291" s="4"/>
      <c r="N291" s="61"/>
      <c r="O291" s="61"/>
      <c r="U291" s="4"/>
      <c r="V291" s="84"/>
      <c r="AA291" t="str">
        <f>IF(realTime!AA291="","",realTime!AA291)</f>
        <v/>
      </c>
      <c r="AB291" t="str">
        <f>IF(realTime!AB291="","",realTime!AB291)</f>
        <v/>
      </c>
    </row>
    <row r="292" spans="5:28" x14ac:dyDescent="0.25">
      <c r="E292" s="4"/>
      <c r="N292" s="61"/>
      <c r="O292" s="61"/>
      <c r="U292" s="4"/>
      <c r="V292" s="84"/>
      <c r="AA292" t="str">
        <f>IF(realTime!AA292="","",realTime!AA292)</f>
        <v/>
      </c>
      <c r="AB292" t="str">
        <f>IF(realTime!AB292="","",realTime!AB292)</f>
        <v/>
      </c>
    </row>
    <row r="293" spans="5:28" x14ac:dyDescent="0.25">
      <c r="E293" s="4"/>
      <c r="N293" s="61"/>
      <c r="O293" s="61"/>
      <c r="U293" s="4"/>
      <c r="V293" s="84"/>
      <c r="AA293" t="str">
        <f>IF(realTime!AA293="","",realTime!AA293)</f>
        <v/>
      </c>
      <c r="AB293" t="str">
        <f>IF(realTime!AB293="","",realTime!AB293)</f>
        <v/>
      </c>
    </row>
    <row r="294" spans="5:28" x14ac:dyDescent="0.25">
      <c r="E294" s="4"/>
      <c r="N294" s="61"/>
      <c r="O294" s="61"/>
      <c r="U294" s="4"/>
      <c r="V294" s="84"/>
      <c r="AA294" t="str">
        <f>IF(realTime!AA294="","",realTime!AA294)</f>
        <v/>
      </c>
      <c r="AB294" t="str">
        <f>IF(realTime!AB294="","",realTime!AB294)</f>
        <v/>
      </c>
    </row>
    <row r="295" spans="5:28" x14ac:dyDescent="0.25">
      <c r="E295" s="4"/>
      <c r="N295" s="61"/>
      <c r="O295" s="61"/>
      <c r="U295" s="4"/>
      <c r="V295" s="84"/>
      <c r="AA295" t="str">
        <f>IF(realTime!AA295="","",realTime!AA295)</f>
        <v/>
      </c>
      <c r="AB295" t="str">
        <f>IF(realTime!AB295="","",realTime!AB295)</f>
        <v/>
      </c>
    </row>
    <row r="296" spans="5:28" x14ac:dyDescent="0.25">
      <c r="E296" s="4"/>
      <c r="N296" s="61"/>
      <c r="O296" s="61"/>
      <c r="U296" s="4"/>
      <c r="V296" s="84"/>
      <c r="AA296" t="str">
        <f>IF(realTime!AA296="","",realTime!AA296)</f>
        <v/>
      </c>
      <c r="AB296" t="str">
        <f>IF(realTime!AB296="","",realTime!AB296)</f>
        <v/>
      </c>
    </row>
    <row r="297" spans="5:28" x14ac:dyDescent="0.25">
      <c r="E297" s="4"/>
      <c r="N297" s="61"/>
      <c r="O297" s="61"/>
      <c r="U297" s="4"/>
      <c r="V297" s="84"/>
      <c r="AA297" t="str">
        <f>IF(realTime!AA297="","",realTime!AA297)</f>
        <v/>
      </c>
      <c r="AB297" t="str">
        <f>IF(realTime!AB297="","",realTime!AB297)</f>
        <v/>
      </c>
    </row>
    <row r="298" spans="5:28" x14ac:dyDescent="0.25">
      <c r="E298" s="4"/>
      <c r="N298" s="61"/>
      <c r="O298" s="61"/>
      <c r="U298" s="4"/>
      <c r="V298" s="84"/>
      <c r="AA298" t="str">
        <f>IF(realTime!AA298="","",realTime!AA298)</f>
        <v/>
      </c>
      <c r="AB298" t="str">
        <f>IF(realTime!AB298="","",realTime!AB298)</f>
        <v/>
      </c>
    </row>
    <row r="299" spans="5:28" x14ac:dyDescent="0.25">
      <c r="E299" s="4"/>
      <c r="N299" s="61"/>
      <c r="O299" s="61"/>
      <c r="U299" s="4"/>
      <c r="V299" s="84"/>
      <c r="AA299" t="str">
        <f>IF(realTime!AA299="","",realTime!AA299)</f>
        <v/>
      </c>
      <c r="AB299" t="str">
        <f>IF(realTime!AB299="","",realTime!AB299)</f>
        <v/>
      </c>
    </row>
    <row r="300" spans="5:28" x14ac:dyDescent="0.25">
      <c r="E300" s="4"/>
      <c r="N300" s="61"/>
      <c r="O300" s="61"/>
      <c r="U300" s="4"/>
      <c r="V300" s="84"/>
      <c r="AA300" t="str">
        <f>IF(realTime!AA300="","",realTime!AA300)</f>
        <v/>
      </c>
      <c r="AB300" t="str">
        <f>IF(realTime!AB300="","",realTime!AB300)</f>
        <v/>
      </c>
    </row>
    <row r="301" spans="5:28" x14ac:dyDescent="0.25">
      <c r="E301" s="4"/>
      <c r="N301" s="61"/>
      <c r="O301" s="61"/>
      <c r="U301" s="4"/>
      <c r="V301" s="84"/>
      <c r="AA301" t="str">
        <f>IF(realTime!AA301="","",realTime!AA301)</f>
        <v/>
      </c>
      <c r="AB301" t="str">
        <f>IF(realTime!AB301="","",realTime!AB301)</f>
        <v/>
      </c>
    </row>
    <row r="302" spans="5:28" x14ac:dyDescent="0.25">
      <c r="E302" s="4"/>
      <c r="N302" s="61"/>
      <c r="O302" s="61"/>
      <c r="U302" s="4"/>
      <c r="V302" s="84"/>
      <c r="AA302" t="str">
        <f>IF(realTime!AA302="","",realTime!AA302)</f>
        <v/>
      </c>
      <c r="AB302" t="str">
        <f>IF(realTime!AB302="","",realTime!AB302)</f>
        <v/>
      </c>
    </row>
    <row r="303" spans="5:28" x14ac:dyDescent="0.25">
      <c r="E303" s="4"/>
      <c r="N303" s="61"/>
      <c r="O303" s="61"/>
      <c r="U303" s="4"/>
      <c r="V303" s="84"/>
      <c r="AA303" t="str">
        <f>IF(realTime!AA303="","",realTime!AA303)</f>
        <v/>
      </c>
      <c r="AB303" t="str">
        <f>IF(realTime!AB303="","",realTime!AB303)</f>
        <v/>
      </c>
    </row>
    <row r="304" spans="5:28" x14ac:dyDescent="0.25">
      <c r="E304" s="4"/>
      <c r="N304" s="61"/>
      <c r="O304" s="61"/>
      <c r="U304" s="4"/>
      <c r="V304" s="84"/>
      <c r="AA304" t="str">
        <f>IF(realTime!AA304="","",realTime!AA304)</f>
        <v/>
      </c>
      <c r="AB304" t="str">
        <f>IF(realTime!AB304="","",realTime!AB304)</f>
        <v/>
      </c>
    </row>
    <row r="305" spans="5:28" x14ac:dyDescent="0.25">
      <c r="E305" s="4"/>
      <c r="N305" s="61"/>
      <c r="O305" s="61"/>
      <c r="U305" s="4"/>
      <c r="V305" s="84"/>
      <c r="AA305" t="str">
        <f>IF(realTime!AA305="","",realTime!AA305)</f>
        <v/>
      </c>
      <c r="AB305" t="str">
        <f>IF(realTime!AB305="","",realTime!AB305)</f>
        <v/>
      </c>
    </row>
    <row r="306" spans="5:28" x14ac:dyDescent="0.25">
      <c r="E306" s="4"/>
      <c r="N306" s="61"/>
      <c r="O306" s="61"/>
      <c r="U306" s="4"/>
      <c r="V306" s="84"/>
      <c r="AA306" t="str">
        <f>IF(realTime!AA306="","",realTime!AA306)</f>
        <v/>
      </c>
      <c r="AB306" t="str">
        <f>IF(realTime!AB306="","",realTime!AB306)</f>
        <v/>
      </c>
    </row>
    <row r="307" spans="5:28" x14ac:dyDescent="0.25">
      <c r="E307" s="4"/>
      <c r="N307" s="61"/>
      <c r="O307" s="61"/>
      <c r="U307" s="4"/>
      <c r="V307" s="84"/>
      <c r="AA307" t="str">
        <f>IF(realTime!AA307="","",realTime!AA307)</f>
        <v/>
      </c>
      <c r="AB307" t="str">
        <f>IF(realTime!AB307="","",realTime!AB307)</f>
        <v/>
      </c>
    </row>
    <row r="308" spans="5:28" x14ac:dyDescent="0.25">
      <c r="E308" s="4"/>
      <c r="N308" s="61"/>
      <c r="O308" s="61"/>
      <c r="U308" s="4"/>
      <c r="V308" s="84"/>
      <c r="AA308" t="str">
        <f>IF(realTime!AA308="","",realTime!AA308)</f>
        <v/>
      </c>
      <c r="AB308" t="str">
        <f>IF(realTime!AB308="","",realTime!AB308)</f>
        <v/>
      </c>
    </row>
    <row r="309" spans="5:28" x14ac:dyDescent="0.25">
      <c r="E309" s="4"/>
      <c r="N309" s="61"/>
      <c r="O309" s="61"/>
      <c r="U309" s="4"/>
      <c r="V309" s="84"/>
      <c r="AA309" t="str">
        <f>IF(realTime!AA309="","",realTime!AA309)</f>
        <v/>
      </c>
      <c r="AB309" t="str">
        <f>IF(realTime!AB309="","",realTime!AB309)</f>
        <v/>
      </c>
    </row>
    <row r="310" spans="5:28" x14ac:dyDescent="0.25">
      <c r="E310" s="4"/>
      <c r="N310" s="61"/>
      <c r="O310" s="61"/>
      <c r="U310" s="4"/>
      <c r="V310" s="84"/>
      <c r="AA310" t="str">
        <f>IF(realTime!AA310="","",realTime!AA310)</f>
        <v/>
      </c>
      <c r="AB310" t="str">
        <f>IF(realTime!AB310="","",realTime!AB310)</f>
        <v/>
      </c>
    </row>
    <row r="311" spans="5:28" x14ac:dyDescent="0.25">
      <c r="E311" s="4"/>
      <c r="N311" s="61"/>
      <c r="O311" s="61"/>
      <c r="U311" s="4"/>
      <c r="V311" s="84"/>
      <c r="AA311" t="str">
        <f>IF(realTime!AA311="","",realTime!AA311)</f>
        <v/>
      </c>
      <c r="AB311" t="str">
        <f>IF(realTime!AB311="","",realTime!AB311)</f>
        <v/>
      </c>
    </row>
    <row r="312" spans="5:28" x14ac:dyDescent="0.25">
      <c r="E312" s="4"/>
      <c r="N312" s="61"/>
      <c r="O312" s="61"/>
      <c r="U312" s="4"/>
      <c r="V312" s="84"/>
      <c r="AA312" t="str">
        <f>IF(realTime!AA312="","",realTime!AA312)</f>
        <v/>
      </c>
      <c r="AB312" t="str">
        <f>IF(realTime!AB312="","",realTime!AB312)</f>
        <v/>
      </c>
    </row>
    <row r="313" spans="5:28" x14ac:dyDescent="0.25">
      <c r="E313" s="4"/>
      <c r="N313" s="61"/>
      <c r="O313" s="61"/>
      <c r="U313" s="4"/>
      <c r="V313" s="84"/>
      <c r="AA313" t="str">
        <f>IF(realTime!AA313="","",realTime!AA313)</f>
        <v/>
      </c>
      <c r="AB313" t="str">
        <f>IF(realTime!AB313="","",realTime!AB313)</f>
        <v/>
      </c>
    </row>
    <row r="314" spans="5:28" x14ac:dyDescent="0.25">
      <c r="E314" s="4"/>
      <c r="N314" s="61"/>
      <c r="O314" s="61"/>
      <c r="U314" s="4"/>
      <c r="V314" s="84"/>
      <c r="AA314" t="str">
        <f>IF(realTime!AA314="","",realTime!AA314)</f>
        <v/>
      </c>
      <c r="AB314" t="str">
        <f>IF(realTime!AB314="","",realTime!AB314)</f>
        <v/>
      </c>
    </row>
    <row r="315" spans="5:28" x14ac:dyDescent="0.25">
      <c r="E315" s="4"/>
      <c r="N315" s="61"/>
      <c r="O315" s="61"/>
      <c r="U315" s="4"/>
      <c r="V315" s="84"/>
      <c r="AA315" t="str">
        <f>IF(realTime!AA315="","",realTime!AA315)</f>
        <v/>
      </c>
      <c r="AB315" t="str">
        <f>IF(realTime!AB315="","",realTime!AB315)</f>
        <v/>
      </c>
    </row>
    <row r="316" spans="5:28" x14ac:dyDescent="0.25">
      <c r="E316" s="4"/>
      <c r="N316" s="61"/>
      <c r="O316" s="61"/>
      <c r="U316" s="4"/>
      <c r="V316" s="84"/>
      <c r="AA316" t="str">
        <f>IF(realTime!AA316="","",realTime!AA316)</f>
        <v/>
      </c>
      <c r="AB316" t="str">
        <f>IF(realTime!AB316="","",realTime!AB316)</f>
        <v/>
      </c>
    </row>
    <row r="317" spans="5:28" x14ac:dyDescent="0.25">
      <c r="E317" s="4"/>
      <c r="N317" s="61"/>
      <c r="O317" s="61"/>
      <c r="U317" s="4"/>
      <c r="V317" s="84"/>
      <c r="AA317" t="str">
        <f>IF(realTime!AA317="","",realTime!AA317)</f>
        <v/>
      </c>
      <c r="AB317" t="str">
        <f>IF(realTime!AB317="","",realTime!AB317)</f>
        <v/>
      </c>
    </row>
    <row r="318" spans="5:28" x14ac:dyDescent="0.25">
      <c r="E318" s="4"/>
      <c r="N318" s="61"/>
      <c r="O318" s="61"/>
      <c r="U318" s="4"/>
      <c r="V318" s="84"/>
      <c r="AA318" t="str">
        <f>IF(realTime!AA318="","",realTime!AA318)</f>
        <v/>
      </c>
      <c r="AB318" t="str">
        <f>IF(realTime!AB318="","",realTime!AB318)</f>
        <v/>
      </c>
    </row>
    <row r="319" spans="5:28" x14ac:dyDescent="0.25">
      <c r="E319" s="4"/>
      <c r="N319" s="61"/>
      <c r="O319" s="61"/>
      <c r="U319" s="4"/>
      <c r="V319" s="84"/>
      <c r="AA319" t="str">
        <f>IF(realTime!AA319="","",realTime!AA319)</f>
        <v/>
      </c>
      <c r="AB319" t="str">
        <f>IF(realTime!AB319="","",realTime!AB319)</f>
        <v/>
      </c>
    </row>
    <row r="320" spans="5:28" x14ac:dyDescent="0.25">
      <c r="E320" s="4"/>
      <c r="N320" s="61"/>
      <c r="O320" s="61"/>
      <c r="U320" s="4"/>
      <c r="V320" s="84"/>
      <c r="AA320" t="str">
        <f>IF(realTime!AA320="","",realTime!AA320)</f>
        <v/>
      </c>
      <c r="AB320" t="str">
        <f>IF(realTime!AB320="","",realTime!AB320)</f>
        <v/>
      </c>
    </row>
    <row r="321" spans="5:28" x14ac:dyDescent="0.25">
      <c r="E321" s="4"/>
      <c r="N321" s="61"/>
      <c r="O321" s="61"/>
      <c r="U321" s="4"/>
      <c r="V321" s="84"/>
      <c r="AA321" t="str">
        <f>IF(realTime!AA321="","",realTime!AA321)</f>
        <v/>
      </c>
      <c r="AB321" t="str">
        <f>IF(realTime!AB321="","",realTime!AB321)</f>
        <v/>
      </c>
    </row>
    <row r="322" spans="5:28" x14ac:dyDescent="0.25">
      <c r="E322" s="4"/>
      <c r="N322" s="61"/>
      <c r="O322" s="61"/>
      <c r="U322" s="4"/>
      <c r="V322" s="84"/>
      <c r="AA322" t="str">
        <f>IF(realTime!AA322="","",realTime!AA322)</f>
        <v/>
      </c>
      <c r="AB322" t="str">
        <f>IF(realTime!AB322="","",realTime!AB322)</f>
        <v/>
      </c>
    </row>
    <row r="323" spans="5:28" x14ac:dyDescent="0.25">
      <c r="E323" s="4"/>
      <c r="N323" s="61"/>
      <c r="O323" s="61"/>
      <c r="U323" s="4"/>
      <c r="V323" s="84"/>
      <c r="AA323" t="str">
        <f>IF(realTime!AA323="","",realTime!AA323)</f>
        <v/>
      </c>
      <c r="AB323" t="str">
        <f>IF(realTime!AB323="","",realTime!AB323)</f>
        <v/>
      </c>
    </row>
    <row r="324" spans="5:28" x14ac:dyDescent="0.25">
      <c r="E324" s="4"/>
      <c r="N324" s="61"/>
      <c r="O324" s="61"/>
      <c r="U324" s="4"/>
      <c r="V324" s="84"/>
      <c r="AA324" t="str">
        <f>IF(realTime!AA324="","",realTime!AA324)</f>
        <v/>
      </c>
      <c r="AB324" t="str">
        <f>IF(realTime!AB324="","",realTime!AB324)</f>
        <v/>
      </c>
    </row>
    <row r="325" spans="5:28" x14ac:dyDescent="0.25">
      <c r="E325" s="4"/>
      <c r="N325" s="61"/>
      <c r="O325" s="61"/>
      <c r="U325" s="4"/>
      <c r="V325" s="84"/>
      <c r="AA325" t="str">
        <f>IF(realTime!AA325="","",realTime!AA325)</f>
        <v/>
      </c>
      <c r="AB325" t="str">
        <f>IF(realTime!AB325="","",realTime!AB325)</f>
        <v/>
      </c>
    </row>
    <row r="326" spans="5:28" x14ac:dyDescent="0.25">
      <c r="E326" s="4"/>
      <c r="N326" s="61"/>
      <c r="O326" s="61"/>
      <c r="U326" s="4"/>
      <c r="V326" s="84"/>
      <c r="AA326" t="str">
        <f>IF(realTime!AA326="","",realTime!AA326)</f>
        <v/>
      </c>
      <c r="AB326" t="str">
        <f>IF(realTime!AB326="","",realTime!AB326)</f>
        <v/>
      </c>
    </row>
    <row r="327" spans="5:28" x14ac:dyDescent="0.25">
      <c r="E327" s="4"/>
      <c r="N327" s="61"/>
      <c r="O327" s="61"/>
      <c r="U327" s="4"/>
      <c r="V327" s="84"/>
      <c r="AA327" t="str">
        <f>IF(realTime!AA327="","",realTime!AA327)</f>
        <v/>
      </c>
      <c r="AB327" t="str">
        <f>IF(realTime!AB327="","",realTime!AB327)</f>
        <v/>
      </c>
    </row>
    <row r="328" spans="5:28" x14ac:dyDescent="0.25">
      <c r="E328" s="4"/>
      <c r="N328" s="61"/>
      <c r="O328" s="61"/>
      <c r="U328" s="4"/>
      <c r="V328" s="84"/>
      <c r="AA328" t="str">
        <f>IF(realTime!AA328="","",realTime!AA328)</f>
        <v/>
      </c>
      <c r="AB328" t="str">
        <f>IF(realTime!AB328="","",realTime!AB328)</f>
        <v/>
      </c>
    </row>
    <row r="329" spans="5:28" x14ac:dyDescent="0.25">
      <c r="E329" s="4"/>
      <c r="N329" s="61"/>
      <c r="O329" s="61"/>
      <c r="U329" s="4"/>
      <c r="V329" s="84"/>
      <c r="AA329" t="str">
        <f>IF(realTime!AA329="","",realTime!AA329)</f>
        <v/>
      </c>
      <c r="AB329" t="str">
        <f>IF(realTime!AB329="","",realTime!AB329)</f>
        <v/>
      </c>
    </row>
    <row r="330" spans="5:28" x14ac:dyDescent="0.25">
      <c r="E330" s="4"/>
      <c r="N330" s="61"/>
      <c r="O330" s="61"/>
      <c r="U330" s="4"/>
      <c r="V330" s="84"/>
      <c r="AA330" t="str">
        <f>IF(realTime!AA330="","",realTime!AA330)</f>
        <v/>
      </c>
      <c r="AB330" t="str">
        <f>IF(realTime!AB330="","",realTime!AB330)</f>
        <v/>
      </c>
    </row>
    <row r="331" spans="5:28" x14ac:dyDescent="0.25">
      <c r="E331" s="4"/>
      <c r="N331" s="61"/>
      <c r="O331" s="61"/>
      <c r="U331" s="4"/>
      <c r="V331" s="84"/>
      <c r="AA331" t="str">
        <f>IF(realTime!AA331="","",realTime!AA331)</f>
        <v/>
      </c>
      <c r="AB331" t="str">
        <f>IF(realTime!AB331="","",realTime!AB331)</f>
        <v/>
      </c>
    </row>
    <row r="332" spans="5:28" x14ac:dyDescent="0.25">
      <c r="E332" s="4"/>
      <c r="N332" s="61"/>
      <c r="O332" s="61"/>
      <c r="U332" s="4"/>
      <c r="V332" s="84"/>
      <c r="AA332" t="str">
        <f>IF(realTime!AA332="","",realTime!AA332)</f>
        <v/>
      </c>
      <c r="AB332" t="str">
        <f>IF(realTime!AB332="","",realTime!AB332)</f>
        <v/>
      </c>
    </row>
    <row r="333" spans="5:28" x14ac:dyDescent="0.25">
      <c r="E333" s="4"/>
      <c r="N333" s="61"/>
      <c r="O333" s="61"/>
      <c r="U333" s="4"/>
      <c r="V333" s="84"/>
      <c r="AA333" t="str">
        <f>IF(realTime!AA333="","",realTime!AA333)</f>
        <v/>
      </c>
      <c r="AB333" t="str">
        <f>IF(realTime!AB333="","",realTime!AB333)</f>
        <v/>
      </c>
    </row>
    <row r="334" spans="5:28" x14ac:dyDescent="0.25">
      <c r="E334" s="4"/>
      <c r="N334" s="61"/>
      <c r="O334" s="61"/>
      <c r="U334" s="4"/>
      <c r="V334" s="84"/>
      <c r="AA334" t="str">
        <f>IF(realTime!AA334="","",realTime!AA334)</f>
        <v/>
      </c>
      <c r="AB334" t="str">
        <f>IF(realTime!AB334="","",realTime!AB334)</f>
        <v/>
      </c>
    </row>
    <row r="335" spans="5:28" x14ac:dyDescent="0.25">
      <c r="E335" s="4"/>
      <c r="N335" s="61"/>
      <c r="O335" s="61"/>
      <c r="U335" s="4"/>
      <c r="V335" s="84"/>
      <c r="AA335" t="str">
        <f>IF(realTime!AA335="","",realTime!AA335)</f>
        <v/>
      </c>
      <c r="AB335" t="str">
        <f>IF(realTime!AB335="","",realTime!AB335)</f>
        <v/>
      </c>
    </row>
    <row r="336" spans="5:28" x14ac:dyDescent="0.25">
      <c r="E336" s="4"/>
      <c r="N336" s="61"/>
      <c r="O336" s="61"/>
      <c r="U336" s="4"/>
      <c r="V336" s="84"/>
      <c r="AA336" t="str">
        <f>IF(realTime!AA336="","",realTime!AA336)</f>
        <v/>
      </c>
      <c r="AB336" t="str">
        <f>IF(realTime!AB336="","",realTime!AB336)</f>
        <v/>
      </c>
    </row>
    <row r="337" spans="5:28" x14ac:dyDescent="0.25">
      <c r="E337" s="4"/>
      <c r="N337" s="61"/>
      <c r="O337" s="61"/>
      <c r="U337" s="4"/>
      <c r="V337" s="84"/>
      <c r="AA337" t="str">
        <f>IF(realTime!AA337="","",realTime!AA337)</f>
        <v/>
      </c>
      <c r="AB337" t="str">
        <f>IF(realTime!AB337="","",realTime!AB337)</f>
        <v/>
      </c>
    </row>
    <row r="338" spans="5:28" x14ac:dyDescent="0.25">
      <c r="E338" s="4"/>
      <c r="N338" s="61"/>
      <c r="O338" s="61"/>
      <c r="U338" s="4"/>
      <c r="V338" s="84"/>
      <c r="AA338" t="str">
        <f>IF(realTime!AA338="","",realTime!AA338)</f>
        <v/>
      </c>
      <c r="AB338" t="str">
        <f>IF(realTime!AB338="","",realTime!AB338)</f>
        <v/>
      </c>
    </row>
    <row r="339" spans="5:28" x14ac:dyDescent="0.25">
      <c r="E339" s="4"/>
      <c r="N339" s="61"/>
      <c r="O339" s="61"/>
      <c r="U339" s="4"/>
      <c r="V339" s="84"/>
      <c r="AA339" t="str">
        <f>IF(realTime!AA339="","",realTime!AA339)</f>
        <v/>
      </c>
      <c r="AB339" t="str">
        <f>IF(realTime!AB339="","",realTime!AB339)</f>
        <v/>
      </c>
    </row>
    <row r="340" spans="5:28" x14ac:dyDescent="0.25">
      <c r="E340" s="4"/>
      <c r="N340" s="61"/>
      <c r="O340" s="61"/>
      <c r="U340" s="4"/>
      <c r="V340" s="84"/>
      <c r="AA340" t="str">
        <f>IF(realTime!AA340="","",realTime!AA340)</f>
        <v/>
      </c>
      <c r="AB340" t="str">
        <f>IF(realTime!AB340="","",realTime!AB340)</f>
        <v/>
      </c>
    </row>
    <row r="341" spans="5:28" x14ac:dyDescent="0.25">
      <c r="E341" s="4"/>
      <c r="N341" s="61"/>
      <c r="O341" s="61"/>
      <c r="U341" s="4"/>
      <c r="V341" s="84"/>
      <c r="AA341" t="str">
        <f>IF(realTime!AA341="","",realTime!AA341)</f>
        <v/>
      </c>
      <c r="AB341" t="str">
        <f>IF(realTime!AB341="","",realTime!AB341)</f>
        <v/>
      </c>
    </row>
    <row r="342" spans="5:28" x14ac:dyDescent="0.25">
      <c r="E342" s="4"/>
      <c r="N342" s="61"/>
      <c r="O342" s="61"/>
      <c r="U342" s="4"/>
      <c r="V342" s="84"/>
      <c r="AA342" t="str">
        <f>IF(realTime!AA342="","",realTime!AA342)</f>
        <v/>
      </c>
      <c r="AB342" t="str">
        <f>IF(realTime!AB342="","",realTime!AB342)</f>
        <v/>
      </c>
    </row>
    <row r="343" spans="5:28" x14ac:dyDescent="0.25">
      <c r="E343" s="4"/>
      <c r="N343" s="61"/>
      <c r="O343" s="61"/>
      <c r="U343" s="4"/>
      <c r="V343" s="84"/>
      <c r="AA343" t="str">
        <f>IF(realTime!AA343="","",realTime!AA343)</f>
        <v/>
      </c>
      <c r="AB343" t="str">
        <f>IF(realTime!AB343="","",realTime!AB343)</f>
        <v/>
      </c>
    </row>
    <row r="344" spans="5:28" x14ac:dyDescent="0.25">
      <c r="E344" s="4"/>
      <c r="N344" s="61"/>
      <c r="O344" s="61"/>
      <c r="U344" s="4"/>
      <c r="V344" s="84"/>
      <c r="AA344" t="str">
        <f>IF(realTime!AA344="","",realTime!AA344)</f>
        <v/>
      </c>
      <c r="AB344" t="str">
        <f>IF(realTime!AB344="","",realTime!AB344)</f>
        <v/>
      </c>
    </row>
    <row r="345" spans="5:28" x14ac:dyDescent="0.25">
      <c r="E345" s="4"/>
      <c r="N345" s="61"/>
      <c r="O345" s="61"/>
      <c r="U345" s="4"/>
      <c r="V345" s="84"/>
      <c r="AA345" t="str">
        <f>IF(realTime!AA345="","",realTime!AA345)</f>
        <v/>
      </c>
      <c r="AB345" t="str">
        <f>IF(realTime!AB345="","",realTime!AB345)</f>
        <v/>
      </c>
    </row>
    <row r="346" spans="5:28" x14ac:dyDescent="0.25">
      <c r="E346" s="4"/>
      <c r="N346" s="61"/>
      <c r="O346" s="61"/>
      <c r="U346" s="4"/>
      <c r="V346" s="84"/>
      <c r="AA346" t="str">
        <f>IF(realTime!AA346="","",realTime!AA346)</f>
        <v/>
      </c>
      <c r="AB346" t="str">
        <f>IF(realTime!AB346="","",realTime!AB346)</f>
        <v/>
      </c>
    </row>
    <row r="347" spans="5:28" x14ac:dyDescent="0.25">
      <c r="E347" s="4"/>
      <c r="N347" s="61"/>
      <c r="O347" s="61"/>
      <c r="U347" s="4"/>
      <c r="V347" s="84"/>
      <c r="AA347" t="str">
        <f>IF(realTime!AA347="","",realTime!AA347)</f>
        <v/>
      </c>
      <c r="AB347" t="str">
        <f>IF(realTime!AB347="","",realTime!AB347)</f>
        <v/>
      </c>
    </row>
    <row r="348" spans="5:28" x14ac:dyDescent="0.25">
      <c r="E348" s="4"/>
      <c r="N348" s="61"/>
      <c r="O348" s="61"/>
      <c r="U348" s="4"/>
      <c r="V348" s="84"/>
      <c r="AA348" t="str">
        <f>IF(realTime!AA348="","",realTime!AA348)</f>
        <v/>
      </c>
      <c r="AB348" t="str">
        <f>IF(realTime!AB348="","",realTime!AB348)</f>
        <v/>
      </c>
    </row>
    <row r="349" spans="5:28" x14ac:dyDescent="0.25">
      <c r="E349" s="4"/>
      <c r="N349" s="61"/>
      <c r="O349" s="61"/>
      <c r="U349" s="4"/>
      <c r="V349" s="84"/>
      <c r="AA349" t="str">
        <f>IF(realTime!AA349="","",realTime!AA349)</f>
        <v/>
      </c>
      <c r="AB349" t="str">
        <f>IF(realTime!AB349="","",realTime!AB349)</f>
        <v/>
      </c>
    </row>
    <row r="350" spans="5:28" x14ac:dyDescent="0.25">
      <c r="E350" s="4"/>
      <c r="N350" s="61"/>
      <c r="O350" s="61"/>
      <c r="U350" s="4"/>
      <c r="V350" s="84"/>
      <c r="AA350" t="str">
        <f>IF(realTime!AA350="","",realTime!AA350)</f>
        <v/>
      </c>
      <c r="AB350" t="str">
        <f>IF(realTime!AB350="","",realTime!AB350)</f>
        <v/>
      </c>
    </row>
    <row r="351" spans="5:28" x14ac:dyDescent="0.25">
      <c r="E351" s="4"/>
      <c r="N351" s="61"/>
      <c r="O351" s="61"/>
      <c r="U351" s="4"/>
      <c r="V351" s="84"/>
      <c r="AA351" t="str">
        <f>IF(realTime!AA351="","",realTime!AA351)</f>
        <v/>
      </c>
      <c r="AB351" t="str">
        <f>IF(realTime!AB351="","",realTime!AB351)</f>
        <v/>
      </c>
    </row>
    <row r="352" spans="5:28" x14ac:dyDescent="0.25">
      <c r="E352" s="4"/>
      <c r="N352" s="61"/>
      <c r="O352" s="61"/>
      <c r="U352" s="4"/>
      <c r="V352" s="84"/>
      <c r="AA352" t="str">
        <f>IF(realTime!AA352="","",realTime!AA352)</f>
        <v/>
      </c>
      <c r="AB352" t="str">
        <f>IF(realTime!AB352="","",realTime!AB352)</f>
        <v/>
      </c>
    </row>
    <row r="353" spans="5:28" x14ac:dyDescent="0.25">
      <c r="E353" s="4"/>
      <c r="N353" s="61"/>
      <c r="O353" s="61"/>
      <c r="U353" s="4"/>
      <c r="V353" s="84"/>
      <c r="AA353" t="str">
        <f>IF(realTime!AA353="","",realTime!AA353)</f>
        <v/>
      </c>
      <c r="AB353" t="str">
        <f>IF(realTime!AB353="","",realTime!AB353)</f>
        <v/>
      </c>
    </row>
    <row r="354" spans="5:28" x14ac:dyDescent="0.25">
      <c r="E354" s="4"/>
      <c r="N354" s="61"/>
      <c r="O354" s="61"/>
      <c r="U354" s="4"/>
      <c r="V354" s="84"/>
      <c r="AA354" t="str">
        <f>IF(realTime!AA354="","",realTime!AA354)</f>
        <v/>
      </c>
      <c r="AB354" t="str">
        <f>IF(realTime!AB354="","",realTime!AB354)</f>
        <v/>
      </c>
    </row>
    <row r="355" spans="5:28" x14ac:dyDescent="0.25">
      <c r="E355" s="4"/>
      <c r="N355" s="61"/>
      <c r="O355" s="61"/>
      <c r="U355" s="4"/>
      <c r="V355" s="84"/>
      <c r="AA355" t="str">
        <f>IF(realTime!AA355="","",realTime!AA355)</f>
        <v/>
      </c>
      <c r="AB355" t="str">
        <f>IF(realTime!AB355="","",realTime!AB355)</f>
        <v/>
      </c>
    </row>
    <row r="356" spans="5:28" x14ac:dyDescent="0.25">
      <c r="E356" s="4"/>
      <c r="N356" s="61"/>
      <c r="O356" s="61"/>
      <c r="U356" s="4"/>
      <c r="V356" s="84"/>
      <c r="AA356" t="str">
        <f>IF(realTime!AA356="","",realTime!AA356)</f>
        <v/>
      </c>
      <c r="AB356" t="str">
        <f>IF(realTime!AB356="","",realTime!AB356)</f>
        <v/>
      </c>
    </row>
    <row r="357" spans="5:28" x14ac:dyDescent="0.25">
      <c r="E357" s="4"/>
      <c r="N357" s="61"/>
      <c r="O357" s="61"/>
      <c r="U357" s="4"/>
      <c r="V357" s="84"/>
      <c r="AA357" t="str">
        <f>IF(realTime!AA357="","",realTime!AA357)</f>
        <v/>
      </c>
      <c r="AB357" t="str">
        <f>IF(realTime!AB357="","",realTime!AB357)</f>
        <v/>
      </c>
    </row>
    <row r="358" spans="5:28" x14ac:dyDescent="0.25">
      <c r="E358" s="4"/>
      <c r="N358" s="61"/>
      <c r="O358" s="61"/>
      <c r="U358" s="4"/>
      <c r="V358" s="84"/>
      <c r="AA358" t="str">
        <f>IF(realTime!AA358="","",realTime!AA358)</f>
        <v/>
      </c>
      <c r="AB358" t="str">
        <f>IF(realTime!AB358="","",realTime!AB358)</f>
        <v/>
      </c>
    </row>
    <row r="359" spans="5:28" x14ac:dyDescent="0.25">
      <c r="E359" s="4"/>
      <c r="N359" s="61"/>
      <c r="O359" s="61"/>
      <c r="U359" s="4"/>
      <c r="V359" s="84"/>
      <c r="AA359" t="str">
        <f>IF(realTime!AA359="","",realTime!AA359)</f>
        <v/>
      </c>
      <c r="AB359" t="str">
        <f>IF(realTime!AB359="","",realTime!AB359)</f>
        <v/>
      </c>
    </row>
    <row r="360" spans="5:28" x14ac:dyDescent="0.25">
      <c r="E360" s="4"/>
      <c r="N360" s="61"/>
      <c r="O360" s="61"/>
      <c r="U360" s="4"/>
      <c r="V360" s="84"/>
      <c r="AA360" t="str">
        <f>IF(realTime!AA360="","",realTime!AA360)</f>
        <v/>
      </c>
      <c r="AB360" t="str">
        <f>IF(realTime!AB360="","",realTime!AB360)</f>
        <v/>
      </c>
    </row>
    <row r="361" spans="5:28" x14ac:dyDescent="0.25">
      <c r="E361" s="4"/>
      <c r="N361" s="61"/>
      <c r="O361" s="61"/>
      <c r="U361" s="4"/>
      <c r="V361" s="84"/>
      <c r="AA361" t="str">
        <f>IF(realTime!AA361="","",realTime!AA361)</f>
        <v/>
      </c>
      <c r="AB361" t="str">
        <f>IF(realTime!AB361="","",realTime!AB361)</f>
        <v/>
      </c>
    </row>
    <row r="362" spans="5:28" x14ac:dyDescent="0.25">
      <c r="E362" s="4"/>
      <c r="N362" s="61"/>
      <c r="O362" s="61"/>
      <c r="U362" s="4"/>
      <c r="V362" s="84"/>
      <c r="AA362" t="str">
        <f>IF(realTime!AA362="","",realTime!AA362)</f>
        <v/>
      </c>
      <c r="AB362" t="str">
        <f>IF(realTime!AB362="","",realTime!AB362)</f>
        <v/>
      </c>
    </row>
    <row r="363" spans="5:28" x14ac:dyDescent="0.25">
      <c r="E363" s="4"/>
      <c r="N363" s="61"/>
      <c r="O363" s="61"/>
      <c r="U363" s="4"/>
      <c r="V363" s="84"/>
      <c r="AA363" t="str">
        <f>IF(realTime!AA363="","",realTime!AA363)</f>
        <v/>
      </c>
      <c r="AB363" t="str">
        <f>IF(realTime!AB363="","",realTime!AB363)</f>
        <v/>
      </c>
    </row>
    <row r="364" spans="5:28" x14ac:dyDescent="0.25">
      <c r="E364" s="4"/>
      <c r="N364" s="61"/>
      <c r="O364" s="61"/>
      <c r="U364" s="4"/>
      <c r="V364" s="84"/>
      <c r="AA364" t="str">
        <f>IF(realTime!AA364="","",realTime!AA364)</f>
        <v/>
      </c>
      <c r="AB364" t="str">
        <f>IF(realTime!AB364="","",realTime!AB364)</f>
        <v/>
      </c>
    </row>
    <row r="365" spans="5:28" x14ac:dyDescent="0.25">
      <c r="E365" s="4"/>
      <c r="N365" s="61"/>
      <c r="O365" s="61"/>
      <c r="U365" s="4"/>
      <c r="V365" s="84"/>
      <c r="AA365" t="str">
        <f>IF(realTime!AA365="","",realTime!AA365)</f>
        <v/>
      </c>
      <c r="AB365" t="str">
        <f>IF(realTime!AB365="","",realTime!AB365)</f>
        <v/>
      </c>
    </row>
    <row r="366" spans="5:28" x14ac:dyDescent="0.25">
      <c r="E366" s="4"/>
      <c r="N366" s="61"/>
      <c r="O366" s="61"/>
      <c r="U366" s="4"/>
      <c r="V366" s="84"/>
      <c r="AA366" t="str">
        <f>IF(realTime!AA366="","",realTime!AA366)</f>
        <v/>
      </c>
      <c r="AB366" t="str">
        <f>IF(realTime!AB366="","",realTime!AB366)</f>
        <v/>
      </c>
    </row>
    <row r="367" spans="5:28" x14ac:dyDescent="0.25">
      <c r="E367" s="4"/>
      <c r="N367" s="61" t="s">
        <v>513</v>
      </c>
      <c r="O367" s="61"/>
      <c r="U367" s="4"/>
      <c r="V367" s="84"/>
      <c r="AA367" t="str">
        <f>IF(realTime!AA367="","",realTime!AA367)</f>
        <v/>
      </c>
      <c r="AB367" t="str">
        <f>IF(realTime!AB367="","",realTime!AB367)</f>
        <v/>
      </c>
    </row>
    <row r="368" spans="5:28" x14ac:dyDescent="0.25">
      <c r="E368" s="4"/>
      <c r="N368" s="61"/>
      <c r="O368" s="61"/>
      <c r="U368" s="4"/>
      <c r="V368" s="84"/>
      <c r="AA368" t="str">
        <f>IF(realTime!AA368="","",realTime!AA368)</f>
        <v/>
      </c>
      <c r="AB368" t="str">
        <f>IF(realTime!AB368="","",realTime!AB368)</f>
        <v/>
      </c>
    </row>
    <row r="369" spans="5:28" x14ac:dyDescent="0.25">
      <c r="E369" s="4"/>
      <c r="N369" s="61"/>
      <c r="O369" s="61"/>
      <c r="U369" s="4"/>
      <c r="V369" s="84"/>
      <c r="AA369" t="str">
        <f>IF(realTime!AA369="","",realTime!AA369)</f>
        <v/>
      </c>
      <c r="AB369" t="str">
        <f>IF(realTime!AB369="","",realTime!AB369)</f>
        <v/>
      </c>
    </row>
    <row r="370" spans="5:28" x14ac:dyDescent="0.25">
      <c r="E370" s="4"/>
      <c r="N370" s="61"/>
      <c r="O370" s="61"/>
      <c r="U370" s="4"/>
      <c r="V370" s="84"/>
      <c r="AA370" t="str">
        <f>IF(realTime!AA370="","",realTime!AA370)</f>
        <v/>
      </c>
      <c r="AB370" t="str">
        <f>IF(realTime!AB370="","",realTime!AB370)</f>
        <v/>
      </c>
    </row>
    <row r="371" spans="5:28" x14ac:dyDescent="0.25">
      <c r="E371" s="4"/>
      <c r="N371" s="61"/>
      <c r="O371" s="61"/>
      <c r="U371" s="4"/>
      <c r="V371" s="84"/>
      <c r="AA371" t="str">
        <f>IF(realTime!AA371="","",realTime!AA371)</f>
        <v/>
      </c>
      <c r="AB371" t="str">
        <f>IF(realTime!AB371="","",realTime!AB371)</f>
        <v/>
      </c>
    </row>
    <row r="372" spans="5:28" x14ac:dyDescent="0.25">
      <c r="E372" s="4"/>
      <c r="N372" s="61"/>
      <c r="O372" s="61"/>
      <c r="U372" s="4"/>
      <c r="V372" s="84"/>
      <c r="AA372" t="str">
        <f>IF(realTime!AA372="","",realTime!AA372)</f>
        <v/>
      </c>
      <c r="AB372" t="str">
        <f>IF(realTime!AB372="","",realTime!AB372)</f>
        <v/>
      </c>
    </row>
    <row r="373" spans="5:28" x14ac:dyDescent="0.25">
      <c r="E373" s="4"/>
      <c r="N373" s="61"/>
      <c r="O373" s="61"/>
      <c r="U373" s="4"/>
      <c r="V373" s="84"/>
      <c r="AA373" t="str">
        <f>IF(realTime!AA373="","",realTime!AA373)</f>
        <v/>
      </c>
      <c r="AB373" t="str">
        <f>IF(realTime!AB373="","",realTime!AB373)</f>
        <v/>
      </c>
    </row>
    <row r="374" spans="5:28" x14ac:dyDescent="0.25">
      <c r="E374" s="4"/>
      <c r="N374" s="61"/>
      <c r="O374" s="61"/>
      <c r="U374" s="4"/>
      <c r="V374" s="84"/>
      <c r="AA374" t="str">
        <f>IF(realTime!AA374="","",realTime!AA374)</f>
        <v/>
      </c>
      <c r="AB374" t="str">
        <f>IF(realTime!AB374="","",realTime!AB374)</f>
        <v/>
      </c>
    </row>
    <row r="375" spans="5:28" x14ac:dyDescent="0.25">
      <c r="E375" s="4"/>
      <c r="N375" s="61"/>
      <c r="O375" s="61"/>
      <c r="U375" s="4"/>
      <c r="V375" s="84"/>
      <c r="AA375" t="str">
        <f>IF(realTime!AA375="","",realTime!AA375)</f>
        <v/>
      </c>
      <c r="AB375" t="str">
        <f>IF(realTime!AB375="","",realTime!AB375)</f>
        <v/>
      </c>
    </row>
    <row r="376" spans="5:28" x14ac:dyDescent="0.25">
      <c r="E376" s="4"/>
      <c r="N376" s="61"/>
      <c r="O376" s="61"/>
      <c r="U376" s="4"/>
      <c r="V376" s="84"/>
      <c r="AA376" t="str">
        <f>IF(realTime!AA376="","",realTime!AA376)</f>
        <v/>
      </c>
      <c r="AB376" t="str">
        <f>IF(realTime!AB376="","",realTime!AB376)</f>
        <v/>
      </c>
    </row>
    <row r="377" spans="5:28" x14ac:dyDescent="0.25">
      <c r="E377" s="4"/>
      <c r="N377" s="61"/>
      <c r="O377" s="61"/>
      <c r="U377" s="4"/>
      <c r="V377" s="84"/>
      <c r="AA377" t="str">
        <f>IF(realTime!AA377="","",realTime!AA377)</f>
        <v/>
      </c>
      <c r="AB377" t="str">
        <f>IF(realTime!AB377="","",realTime!AB377)</f>
        <v/>
      </c>
    </row>
    <row r="378" spans="5:28" x14ac:dyDescent="0.25">
      <c r="E378" s="4"/>
      <c r="N378" s="61"/>
      <c r="O378" s="61"/>
      <c r="U378" s="4"/>
      <c r="V378" s="84"/>
      <c r="AA378" t="str">
        <f>IF(realTime!AA378="","",realTime!AA378)</f>
        <v/>
      </c>
      <c r="AB378" t="str">
        <f>IF(realTime!AB378="","",realTime!AB378)</f>
        <v/>
      </c>
    </row>
    <row r="379" spans="5:28" x14ac:dyDescent="0.25">
      <c r="E379" s="4"/>
      <c r="N379" s="61"/>
      <c r="O379" s="61"/>
      <c r="U379" s="4"/>
      <c r="V379" s="84"/>
      <c r="AA379" t="str">
        <f>IF(realTime!AA379="","",realTime!AA379)</f>
        <v/>
      </c>
      <c r="AB379" t="str">
        <f>IF(realTime!AB379="","",realTime!AB379)</f>
        <v/>
      </c>
    </row>
    <row r="380" spans="5:28" x14ac:dyDescent="0.25">
      <c r="E380" s="4"/>
      <c r="N380" s="61"/>
      <c r="O380" s="61"/>
      <c r="U380" s="4"/>
      <c r="V380" s="84"/>
      <c r="AA380" t="str">
        <f>IF(realTime!AA380="","",realTime!AA380)</f>
        <v/>
      </c>
      <c r="AB380" t="str">
        <f>IF(realTime!AB380="","",realTime!AB380)</f>
        <v/>
      </c>
    </row>
    <row r="381" spans="5:28" x14ac:dyDescent="0.25">
      <c r="E381" s="4"/>
      <c r="N381" s="61"/>
      <c r="O381" s="61"/>
      <c r="U381" s="4"/>
      <c r="V381" s="84"/>
      <c r="AA381" t="str">
        <f>IF(realTime!AA381="","",realTime!AA381)</f>
        <v/>
      </c>
      <c r="AB381" t="str">
        <f>IF(realTime!AB381="","",realTime!AB381)</f>
        <v/>
      </c>
    </row>
    <row r="382" spans="5:28" x14ac:dyDescent="0.25">
      <c r="E382" s="4"/>
      <c r="N382" s="61"/>
      <c r="O382" s="61"/>
      <c r="U382" s="4"/>
      <c r="V382" s="84"/>
      <c r="AA382" t="str">
        <f>IF(realTime!AA382="","",realTime!AA382)</f>
        <v/>
      </c>
      <c r="AB382" t="str">
        <f>IF(realTime!AB382="","",realTime!AB382)</f>
        <v/>
      </c>
    </row>
    <row r="383" spans="5:28" x14ac:dyDescent="0.25">
      <c r="E383" s="4"/>
      <c r="N383" s="61"/>
      <c r="O383" s="61"/>
      <c r="U383" s="4"/>
      <c r="V383" s="84"/>
      <c r="AA383" t="str">
        <f>IF(realTime!AA383="","",realTime!AA383)</f>
        <v/>
      </c>
      <c r="AB383" t="str">
        <f>IF(realTime!AB383="","",realTime!AB383)</f>
        <v/>
      </c>
    </row>
    <row r="384" spans="5:28" x14ac:dyDescent="0.25">
      <c r="E384" s="4"/>
      <c r="N384" s="61"/>
      <c r="O384" s="61"/>
      <c r="U384" s="4"/>
      <c r="V384" s="84"/>
      <c r="AA384" t="str">
        <f>IF(realTime!AA384="","",realTime!AA384)</f>
        <v/>
      </c>
      <c r="AB384" t="str">
        <f>IF(realTime!AB384="","",realTime!AB384)</f>
        <v/>
      </c>
    </row>
    <row r="385" spans="5:28" x14ac:dyDescent="0.25">
      <c r="E385" s="4"/>
      <c r="N385" s="61"/>
      <c r="O385" s="61"/>
      <c r="U385" s="4"/>
      <c r="V385" s="84"/>
      <c r="AA385" t="str">
        <f>IF(realTime!AA385="","",realTime!AA385)</f>
        <v/>
      </c>
      <c r="AB385" t="str">
        <f>IF(realTime!AB385="","",realTime!AB385)</f>
        <v/>
      </c>
    </row>
    <row r="386" spans="5:28" x14ac:dyDescent="0.25">
      <c r="E386" s="4"/>
      <c r="N386" s="61"/>
      <c r="O386" s="61"/>
      <c r="U386" s="4"/>
      <c r="V386" s="84"/>
      <c r="AA386" t="str">
        <f>IF(realTime!AA386="","",realTime!AA386)</f>
        <v/>
      </c>
      <c r="AB386" t="str">
        <f>IF(realTime!AB386="","",realTime!AB386)</f>
        <v/>
      </c>
    </row>
    <row r="387" spans="5:28" x14ac:dyDescent="0.25">
      <c r="E387" s="4"/>
      <c r="N387" s="61"/>
      <c r="O387" s="61"/>
      <c r="U387" s="4"/>
      <c r="V387" s="84"/>
      <c r="AA387" t="str">
        <f>IF(realTime!AA387="","",realTime!AA387)</f>
        <v/>
      </c>
      <c r="AB387" t="str">
        <f>IF(realTime!AB387="","",realTime!AB387)</f>
        <v/>
      </c>
    </row>
    <row r="388" spans="5:28" x14ac:dyDescent="0.25">
      <c r="E388" s="4"/>
      <c r="N388" s="61"/>
      <c r="O388" s="61"/>
      <c r="U388" s="4"/>
      <c r="V388" s="84"/>
      <c r="AA388" t="str">
        <f>IF(realTime!AA388="","",realTime!AA388)</f>
        <v/>
      </c>
      <c r="AB388" t="str">
        <f>IF(realTime!AB388="","",realTime!AB388)</f>
        <v/>
      </c>
    </row>
    <row r="389" spans="5:28" x14ac:dyDescent="0.25">
      <c r="E389" s="4"/>
      <c r="N389" s="61"/>
      <c r="O389" s="61"/>
      <c r="U389" s="4"/>
      <c r="V389" s="84"/>
      <c r="AA389" t="str">
        <f>IF(realTime!AA389="","",realTime!AA389)</f>
        <v/>
      </c>
      <c r="AB389" t="str">
        <f>IF(realTime!AB389="","",realTime!AB389)</f>
        <v/>
      </c>
    </row>
    <row r="390" spans="5:28" x14ac:dyDescent="0.25">
      <c r="E390" s="4"/>
      <c r="N390" s="61"/>
      <c r="O390" s="61"/>
      <c r="U390" s="4"/>
      <c r="V390" s="84"/>
      <c r="AA390" t="str">
        <f>IF(realTime!AA390="","",realTime!AA390)</f>
        <v/>
      </c>
      <c r="AB390" t="str">
        <f>IF(realTime!AB390="","",realTime!AB390)</f>
        <v/>
      </c>
    </row>
    <row r="391" spans="5:28" x14ac:dyDescent="0.25">
      <c r="E391" s="4"/>
      <c r="N391" s="61"/>
      <c r="O391" s="61"/>
      <c r="U391" s="4"/>
      <c r="V391" s="84"/>
      <c r="AA391" t="str">
        <f>IF(realTime!AA391="","",realTime!AA391)</f>
        <v/>
      </c>
      <c r="AB391" t="str">
        <f>IF(realTime!AB391="","",realTime!AB391)</f>
        <v/>
      </c>
    </row>
    <row r="392" spans="5:28" x14ac:dyDescent="0.25">
      <c r="E392" s="4"/>
      <c r="N392" s="61"/>
      <c r="O392" s="61"/>
      <c r="U392" s="4"/>
      <c r="V392" s="84"/>
      <c r="AA392" t="str">
        <f>IF(realTime!AA392="","",realTime!AA392)</f>
        <v/>
      </c>
      <c r="AB392" t="str">
        <f>IF(realTime!AB392="","",realTime!AB392)</f>
        <v/>
      </c>
    </row>
    <row r="393" spans="5:28" x14ac:dyDescent="0.25">
      <c r="E393" s="4"/>
      <c r="N393" s="61"/>
      <c r="O393" s="61"/>
      <c r="U393" s="4"/>
      <c r="V393" s="84"/>
      <c r="AA393" t="str">
        <f>IF(realTime!AA393="","",realTime!AA393)</f>
        <v/>
      </c>
      <c r="AB393" t="str">
        <f>IF(realTime!AB393="","",realTime!AB393)</f>
        <v/>
      </c>
    </row>
    <row r="394" spans="5:28" x14ac:dyDescent="0.25">
      <c r="E394" s="4"/>
      <c r="N394" s="61"/>
      <c r="O394" s="61"/>
      <c r="U394" s="4"/>
      <c r="V394" s="84"/>
      <c r="AA394" t="str">
        <f>IF(realTime!AA394="","",realTime!AA394)</f>
        <v/>
      </c>
      <c r="AB394" t="str">
        <f>IF(realTime!AB394="","",realTime!AB394)</f>
        <v/>
      </c>
    </row>
    <row r="395" spans="5:28" x14ac:dyDescent="0.25">
      <c r="E395" s="4"/>
      <c r="N395" s="61"/>
      <c r="O395" s="61"/>
      <c r="U395" s="4"/>
      <c r="V395" s="84"/>
      <c r="AA395" t="str">
        <f>IF(realTime!AA395="","",realTime!AA395)</f>
        <v/>
      </c>
      <c r="AB395" t="str">
        <f>IF(realTime!AB395="","",realTime!AB395)</f>
        <v/>
      </c>
    </row>
    <row r="396" spans="5:28" x14ac:dyDescent="0.25">
      <c r="E396" s="4"/>
      <c r="N396" s="61"/>
      <c r="O396" s="61"/>
      <c r="U396" s="4"/>
      <c r="V396" s="84"/>
      <c r="AA396" t="str">
        <f>IF(realTime!AA396="","",realTime!AA396)</f>
        <v/>
      </c>
      <c r="AB396" t="str">
        <f>IF(realTime!AB396="","",realTime!AB396)</f>
        <v/>
      </c>
    </row>
    <row r="397" spans="5:28" x14ac:dyDescent="0.25">
      <c r="E397" s="4"/>
      <c r="N397" s="61"/>
      <c r="O397" s="61"/>
      <c r="U397" s="4"/>
      <c r="V397" s="84"/>
      <c r="AA397" t="str">
        <f>IF(realTime!AA397="","",realTime!AA397)</f>
        <v/>
      </c>
      <c r="AB397" t="str">
        <f>IF(realTime!AB397="","",realTime!AB397)</f>
        <v/>
      </c>
    </row>
    <row r="398" spans="5:28" x14ac:dyDescent="0.25">
      <c r="E398" s="4"/>
      <c r="N398" s="61"/>
      <c r="O398" s="61"/>
      <c r="U398" s="4"/>
      <c r="V398" s="84"/>
      <c r="AA398" t="str">
        <f>IF(realTime!AA398="","",realTime!AA398)</f>
        <v/>
      </c>
      <c r="AB398" t="str">
        <f>IF(realTime!AB398="","",realTime!AB398)</f>
        <v/>
      </c>
    </row>
    <row r="399" spans="5:28" x14ac:dyDescent="0.25">
      <c r="E399" s="4"/>
      <c r="N399" s="61"/>
      <c r="O399" s="61"/>
      <c r="U399" s="4"/>
      <c r="V399" s="84"/>
      <c r="AA399" t="str">
        <f>IF(realTime!AA399="","",realTime!AA399)</f>
        <v/>
      </c>
      <c r="AB399" t="str">
        <f>IF(realTime!AB399="","",realTime!AB399)</f>
        <v/>
      </c>
    </row>
    <row r="400" spans="5:28" x14ac:dyDescent="0.25">
      <c r="E400" s="4"/>
      <c r="N400" s="61"/>
      <c r="O400" s="61"/>
      <c r="U400" s="4"/>
      <c r="V400" s="84"/>
      <c r="AA400" t="str">
        <f>IF(realTime!AA400="","",realTime!AA400)</f>
        <v/>
      </c>
      <c r="AB400" t="str">
        <f>IF(realTime!AB400="","",realTime!AB400)</f>
        <v/>
      </c>
    </row>
    <row r="401" spans="5:28" x14ac:dyDescent="0.25">
      <c r="E401" s="4"/>
      <c r="N401" s="61"/>
      <c r="O401" s="61"/>
      <c r="U401" s="4"/>
      <c r="V401" s="84"/>
      <c r="AA401" t="str">
        <f>IF(realTime!AA401="","",realTime!AA401)</f>
        <v/>
      </c>
      <c r="AB401" t="str">
        <f>IF(realTime!AB401="","",realTime!AB401)</f>
        <v/>
      </c>
    </row>
    <row r="402" spans="5:28" x14ac:dyDescent="0.25">
      <c r="E402" s="4"/>
      <c r="N402" s="61"/>
      <c r="O402" s="61"/>
      <c r="U402" s="4"/>
      <c r="V402" s="84"/>
      <c r="AA402" t="str">
        <f>IF(realTime!AA402="","",realTime!AA402)</f>
        <v/>
      </c>
      <c r="AB402" t="str">
        <f>IF(realTime!AB402="","",realTime!AB402)</f>
        <v/>
      </c>
    </row>
    <row r="403" spans="5:28" x14ac:dyDescent="0.25">
      <c r="E403" s="4"/>
      <c r="N403" s="61"/>
      <c r="O403" s="61"/>
      <c r="U403" s="4"/>
      <c r="V403" s="84"/>
      <c r="AA403" t="str">
        <f>IF(realTime!AA403="","",realTime!AA403)</f>
        <v/>
      </c>
      <c r="AB403" t="str">
        <f>IF(realTime!AB403="","",realTime!AB403)</f>
        <v/>
      </c>
    </row>
    <row r="404" spans="5:28" x14ac:dyDescent="0.25">
      <c r="E404" s="4"/>
      <c r="N404" s="61"/>
      <c r="O404" s="61"/>
      <c r="U404" s="4"/>
      <c r="V404" s="84"/>
      <c r="AA404" t="str">
        <f>IF(realTime!AA404="","",realTime!AA404)</f>
        <v/>
      </c>
      <c r="AB404" t="str">
        <f>IF(realTime!AB404="","",realTime!AB404)</f>
        <v/>
      </c>
    </row>
    <row r="405" spans="5:28" x14ac:dyDescent="0.25">
      <c r="E405" s="4"/>
      <c r="N405" s="61"/>
      <c r="O405" s="61"/>
      <c r="U405" s="4"/>
      <c r="V405" s="84"/>
      <c r="AA405" t="str">
        <f>IF(realTime!AA405="","",realTime!AA405)</f>
        <v/>
      </c>
      <c r="AB405" t="str">
        <f>IF(realTime!AB405="","",realTime!AB405)</f>
        <v/>
      </c>
    </row>
    <row r="406" spans="5:28" x14ac:dyDescent="0.25">
      <c r="E406" s="4"/>
      <c r="N406" s="61"/>
      <c r="O406" s="61"/>
      <c r="U406" s="4"/>
      <c r="V406" s="84"/>
      <c r="AA406" t="str">
        <f>IF(realTime!AA406="","",realTime!AA406)</f>
        <v/>
      </c>
      <c r="AB406" t="str">
        <f>IF(realTime!AB406="","",realTime!AB406)</f>
        <v/>
      </c>
    </row>
    <row r="407" spans="5:28" x14ac:dyDescent="0.25">
      <c r="E407" s="4"/>
      <c r="N407" s="61"/>
      <c r="O407" s="61"/>
      <c r="U407" s="4"/>
      <c r="V407" s="84"/>
      <c r="AA407" t="str">
        <f>IF(realTime!AA407="","",realTime!AA407)</f>
        <v/>
      </c>
      <c r="AB407" t="str">
        <f>IF(realTime!AB407="","",realTime!AB407)</f>
        <v/>
      </c>
    </row>
    <row r="408" spans="5:28" x14ac:dyDescent="0.25">
      <c r="E408" s="4"/>
      <c r="N408" s="61"/>
      <c r="O408" s="61"/>
      <c r="U408" s="4"/>
      <c r="V408" s="84"/>
      <c r="AA408" t="str">
        <f>IF(realTime!AA408="","",realTime!AA408)</f>
        <v/>
      </c>
      <c r="AB408" t="str">
        <f>IF(realTime!AB408="","",realTime!AB408)</f>
        <v/>
      </c>
    </row>
    <row r="409" spans="5:28" x14ac:dyDescent="0.25">
      <c r="E409" s="4"/>
      <c r="N409" s="61"/>
      <c r="O409" s="61"/>
      <c r="U409" s="4"/>
      <c r="V409" s="84"/>
      <c r="AA409" t="str">
        <f>IF(realTime!AA409="","",realTime!AA409)</f>
        <v/>
      </c>
      <c r="AB409" t="str">
        <f>IF(realTime!AB409="","",realTime!AB409)</f>
        <v/>
      </c>
    </row>
    <row r="410" spans="5:28" x14ac:dyDescent="0.25">
      <c r="E410" s="4"/>
      <c r="N410" s="61"/>
      <c r="O410" s="61"/>
      <c r="U410" s="4"/>
      <c r="V410" s="84"/>
      <c r="AA410" t="str">
        <f>IF(realTime!AA410="","",realTime!AA410)</f>
        <v/>
      </c>
      <c r="AB410" t="str">
        <f>IF(realTime!AB410="","",realTime!AB410)</f>
        <v/>
      </c>
    </row>
    <row r="411" spans="5:28" x14ac:dyDescent="0.25">
      <c r="E411" s="4"/>
      <c r="N411" s="61"/>
      <c r="O411" s="61"/>
      <c r="U411" s="4"/>
      <c r="V411" s="84"/>
      <c r="AA411" t="str">
        <f>IF(realTime!AA411="","",realTime!AA411)</f>
        <v/>
      </c>
      <c r="AB411" t="str">
        <f>IF(realTime!AB411="","",realTime!AB411)</f>
        <v/>
      </c>
    </row>
    <row r="412" spans="5:28" x14ac:dyDescent="0.25">
      <c r="E412" s="4"/>
      <c r="N412" s="61"/>
      <c r="O412" s="61"/>
      <c r="U412" s="4"/>
      <c r="V412" s="84"/>
      <c r="AA412" t="str">
        <f>IF(realTime!AA412="","",realTime!AA412)</f>
        <v/>
      </c>
      <c r="AB412" t="str">
        <f>IF(realTime!AB412="","",realTime!AB412)</f>
        <v/>
      </c>
    </row>
    <row r="413" spans="5:28" x14ac:dyDescent="0.25">
      <c r="E413" s="4"/>
      <c r="N413" s="61"/>
      <c r="O413" s="61"/>
      <c r="U413" s="4"/>
      <c r="V413" s="84"/>
      <c r="AA413" t="str">
        <f>IF(realTime!AA413="","",realTime!AA413)</f>
        <v/>
      </c>
      <c r="AB413" t="str">
        <f>IF(realTime!AB413="","",realTime!AB413)</f>
        <v/>
      </c>
    </row>
    <row r="414" spans="5:28" x14ac:dyDescent="0.25">
      <c r="E414" s="4"/>
      <c r="N414" s="61"/>
      <c r="O414" s="61"/>
      <c r="U414" s="4"/>
      <c r="V414" s="84"/>
      <c r="AA414" t="str">
        <f>IF(realTime!AA414="","",realTime!AA414)</f>
        <v/>
      </c>
      <c r="AB414" t="str">
        <f>IF(realTime!AB414="","",realTime!AB414)</f>
        <v/>
      </c>
    </row>
    <row r="415" spans="5:28" x14ac:dyDescent="0.25">
      <c r="E415" s="4"/>
      <c r="N415" s="61"/>
      <c r="O415" s="61"/>
      <c r="U415" s="4"/>
      <c r="V415" s="84"/>
      <c r="AA415" t="str">
        <f>IF(realTime!AA415="","",realTime!AA415)</f>
        <v/>
      </c>
      <c r="AB415" t="str">
        <f>IF(realTime!AB415="","",realTime!AB415)</f>
        <v/>
      </c>
    </row>
    <row r="416" spans="5:28" x14ac:dyDescent="0.25">
      <c r="E416" s="4"/>
      <c r="N416" s="61"/>
      <c r="O416" s="61"/>
      <c r="U416" s="4"/>
      <c r="V416" s="84"/>
      <c r="AA416" t="str">
        <f>IF(realTime!AA416="","",realTime!AA416)</f>
        <v/>
      </c>
      <c r="AB416" t="str">
        <f>IF(realTime!AB416="","",realTime!AB416)</f>
        <v/>
      </c>
    </row>
    <row r="417" spans="5:28" x14ac:dyDescent="0.25">
      <c r="E417" s="4"/>
      <c r="N417" s="61"/>
      <c r="O417" s="61"/>
      <c r="U417" s="4"/>
      <c r="V417" s="84"/>
      <c r="AA417" t="str">
        <f>IF(realTime!AA417="","",realTime!AA417)</f>
        <v/>
      </c>
      <c r="AB417" t="str">
        <f>IF(realTime!AB417="","",realTime!AB417)</f>
        <v/>
      </c>
    </row>
    <row r="418" spans="5:28" x14ac:dyDescent="0.25">
      <c r="E418" s="4"/>
      <c r="N418" s="61"/>
      <c r="O418" s="61"/>
      <c r="U418" s="4"/>
      <c r="V418" s="84"/>
      <c r="AA418" t="str">
        <f>IF(realTime!AA418="","",realTime!AA418)</f>
        <v/>
      </c>
      <c r="AB418" t="str">
        <f>IF(realTime!AB418="","",realTime!AB418)</f>
        <v/>
      </c>
    </row>
    <row r="419" spans="5:28" x14ac:dyDescent="0.25">
      <c r="E419" s="4"/>
      <c r="N419" s="61"/>
      <c r="O419" s="61"/>
      <c r="U419" s="4"/>
      <c r="V419" s="84"/>
      <c r="AA419" t="str">
        <f>IF(realTime!AA419="","",realTime!AA419)</f>
        <v/>
      </c>
      <c r="AB419" t="str">
        <f>IF(realTime!AB419="","",realTime!AB419)</f>
        <v/>
      </c>
    </row>
    <row r="420" spans="5:28" x14ac:dyDescent="0.25">
      <c r="E420" s="4"/>
      <c r="N420" s="61"/>
      <c r="O420" s="61"/>
      <c r="U420" s="4"/>
      <c r="V420" s="84"/>
      <c r="AA420" t="str">
        <f>IF(realTime!AA420="","",realTime!AA420)</f>
        <v/>
      </c>
      <c r="AB420" t="str">
        <f>IF(realTime!AB420="","",realTime!AB420)</f>
        <v/>
      </c>
    </row>
    <row r="421" spans="5:28" x14ac:dyDescent="0.25">
      <c r="E421" s="4"/>
      <c r="N421" s="61"/>
      <c r="O421" s="61"/>
      <c r="U421" s="4"/>
      <c r="V421" s="84"/>
      <c r="AA421" t="str">
        <f>IF(realTime!AA421="","",realTime!AA421)</f>
        <v/>
      </c>
      <c r="AB421" t="str">
        <f>IF(realTime!AB421="","",realTime!AB421)</f>
        <v/>
      </c>
    </row>
    <row r="422" spans="5:28" x14ac:dyDescent="0.25">
      <c r="E422" s="4"/>
      <c r="N422" s="61"/>
      <c r="O422" s="61"/>
      <c r="U422" s="4"/>
      <c r="V422" s="84"/>
      <c r="AA422" t="str">
        <f>IF(realTime!AA422="","",realTime!AA422)</f>
        <v/>
      </c>
      <c r="AB422" t="str">
        <f>IF(realTime!AB422="","",realTime!AB422)</f>
        <v/>
      </c>
    </row>
    <row r="423" spans="5:28" x14ac:dyDescent="0.25">
      <c r="E423" s="4"/>
      <c r="N423" s="61"/>
      <c r="O423" s="61"/>
      <c r="U423" s="4"/>
      <c r="V423" s="84"/>
      <c r="AA423" t="str">
        <f>IF(realTime!AA423="","",realTime!AA423)</f>
        <v/>
      </c>
      <c r="AB423" t="str">
        <f>IF(realTime!AB423="","",realTime!AB423)</f>
        <v/>
      </c>
    </row>
    <row r="424" spans="5:28" x14ac:dyDescent="0.25">
      <c r="E424" s="4"/>
      <c r="N424" s="61"/>
      <c r="O424" s="61"/>
      <c r="U424" s="4"/>
      <c r="V424" s="84"/>
      <c r="AA424" t="str">
        <f>IF(realTime!AA424="","",realTime!AA424)</f>
        <v/>
      </c>
      <c r="AB424" t="str">
        <f>IF(realTime!AB424="","",realTime!AB424)</f>
        <v/>
      </c>
    </row>
    <row r="425" spans="5:28" x14ac:dyDescent="0.25">
      <c r="E425" s="4"/>
      <c r="N425" s="61"/>
      <c r="O425" s="61"/>
      <c r="U425" s="4"/>
      <c r="V425" s="84"/>
      <c r="AA425" t="str">
        <f>IF(realTime!AA425="","",realTime!AA425)</f>
        <v/>
      </c>
      <c r="AB425" t="str">
        <f>IF(realTime!AB425="","",realTime!AB425)</f>
        <v/>
      </c>
    </row>
    <row r="426" spans="5:28" x14ac:dyDescent="0.25">
      <c r="E426" s="4"/>
      <c r="N426" s="61"/>
      <c r="O426" s="61"/>
      <c r="U426" s="4"/>
      <c r="V426" s="84"/>
      <c r="AA426" t="str">
        <f>IF(realTime!AA426="","",realTime!AA426)</f>
        <v/>
      </c>
      <c r="AB426" t="str">
        <f>IF(realTime!AB426="","",realTime!AB426)</f>
        <v/>
      </c>
    </row>
    <row r="427" spans="5:28" x14ac:dyDescent="0.25">
      <c r="E427" s="4"/>
      <c r="N427" s="61"/>
      <c r="O427" s="61"/>
      <c r="U427" s="4"/>
      <c r="V427" s="84"/>
      <c r="AA427" t="str">
        <f>IF(realTime!AA427="","",realTime!AA427)</f>
        <v/>
      </c>
      <c r="AB427" t="str">
        <f>IF(realTime!AB427="","",realTime!AB427)</f>
        <v/>
      </c>
    </row>
    <row r="428" spans="5:28" x14ac:dyDescent="0.25">
      <c r="E428" s="4"/>
      <c r="N428" s="61"/>
      <c r="O428" s="61"/>
      <c r="U428" s="4"/>
      <c r="V428" s="84"/>
      <c r="AA428" t="str">
        <f>IF(realTime!AA428="","",realTime!AA428)</f>
        <v/>
      </c>
      <c r="AB428" t="str">
        <f>IF(realTime!AB428="","",realTime!AB428)</f>
        <v/>
      </c>
    </row>
    <row r="429" spans="5:28" x14ac:dyDescent="0.25">
      <c r="E429" s="4"/>
      <c r="N429" s="61"/>
      <c r="O429" s="61"/>
      <c r="U429" s="4"/>
      <c r="V429" s="84"/>
      <c r="AA429" t="str">
        <f>IF(realTime!AA429="","",realTime!AA429)</f>
        <v/>
      </c>
      <c r="AB429" t="str">
        <f>IF(realTime!AB429="","",realTime!AB429)</f>
        <v/>
      </c>
    </row>
    <row r="430" spans="5:28" x14ac:dyDescent="0.25">
      <c r="E430" s="4"/>
      <c r="N430" s="61"/>
      <c r="O430" s="61"/>
      <c r="U430" s="4"/>
      <c r="V430" s="84"/>
      <c r="AA430" t="str">
        <f>IF(realTime!AA430="","",realTime!AA430)</f>
        <v/>
      </c>
      <c r="AB430" t="str">
        <f>IF(realTime!AB430="","",realTime!AB430)</f>
        <v/>
      </c>
    </row>
    <row r="431" spans="5:28" x14ac:dyDescent="0.25">
      <c r="E431" s="4"/>
      <c r="N431" s="61"/>
      <c r="O431" s="61"/>
      <c r="U431" s="4"/>
      <c r="V431" s="84"/>
      <c r="AA431" t="str">
        <f>IF(realTime!AA431="","",realTime!AA431)</f>
        <v/>
      </c>
      <c r="AB431" t="str">
        <f>IF(realTime!AB431="","",realTime!AB431)</f>
        <v/>
      </c>
    </row>
    <row r="432" spans="5:28" x14ac:dyDescent="0.25">
      <c r="E432" s="4"/>
      <c r="N432" s="61"/>
      <c r="O432" s="61"/>
      <c r="U432" s="4"/>
      <c r="V432" s="84"/>
      <c r="AA432" t="str">
        <f>IF(realTime!AA432="","",realTime!AA432)</f>
        <v/>
      </c>
      <c r="AB432" t="str">
        <f>IF(realTime!AB432="","",realTime!AB432)</f>
        <v/>
      </c>
    </row>
    <row r="433" spans="5:28" x14ac:dyDescent="0.25">
      <c r="E433" s="4"/>
      <c r="N433" s="61"/>
      <c r="O433" s="61"/>
      <c r="U433" s="4"/>
      <c r="V433" s="84"/>
      <c r="AA433" t="str">
        <f>IF(realTime!AA433="","",realTime!AA433)</f>
        <v/>
      </c>
      <c r="AB433" t="str">
        <f>IF(realTime!AB433="","",realTime!AB433)</f>
        <v/>
      </c>
    </row>
    <row r="434" spans="5:28" x14ac:dyDescent="0.25">
      <c r="E434" s="4"/>
      <c r="N434" s="61"/>
      <c r="O434" s="61"/>
      <c r="U434" s="4"/>
      <c r="V434" s="84"/>
      <c r="AA434" t="str">
        <f>IF(realTime!AA434="","",realTime!AA434)</f>
        <v/>
      </c>
      <c r="AB434" t="str">
        <f>IF(realTime!AB434="","",realTime!AB434)</f>
        <v/>
      </c>
    </row>
    <row r="435" spans="5:28" x14ac:dyDescent="0.25">
      <c r="E435" s="4"/>
      <c r="N435" s="61"/>
      <c r="O435" s="61"/>
      <c r="U435" s="4"/>
      <c r="V435" s="84"/>
      <c r="AA435" t="str">
        <f>IF(realTime!AA435="","",realTime!AA435)</f>
        <v/>
      </c>
      <c r="AB435" t="str">
        <f>IF(realTime!AB435="","",realTime!AB435)</f>
        <v/>
      </c>
    </row>
    <row r="436" spans="5:28" x14ac:dyDescent="0.25">
      <c r="E436" s="4"/>
      <c r="N436" s="61"/>
      <c r="O436" s="61"/>
      <c r="U436" s="4"/>
      <c r="V436" s="84"/>
      <c r="AA436" t="str">
        <f>IF(realTime!AA436="","",realTime!AA436)</f>
        <v/>
      </c>
      <c r="AB436" t="str">
        <f>IF(realTime!AB436="","",realTime!AB436)</f>
        <v/>
      </c>
    </row>
    <row r="437" spans="5:28" x14ac:dyDescent="0.25">
      <c r="E437" s="4"/>
      <c r="N437" s="61"/>
      <c r="O437" s="61"/>
      <c r="U437" s="4"/>
      <c r="V437" s="84"/>
      <c r="AA437" t="str">
        <f>IF(realTime!AA437="","",realTime!AA437)</f>
        <v/>
      </c>
      <c r="AB437" t="str">
        <f>IF(realTime!AB437="","",realTime!AB437)</f>
        <v/>
      </c>
    </row>
    <row r="438" spans="5:28" x14ac:dyDescent="0.25">
      <c r="E438" s="4"/>
      <c r="N438" s="61"/>
      <c r="O438" s="61"/>
      <c r="U438" s="4"/>
      <c r="V438" s="84"/>
      <c r="AA438" t="str">
        <f>IF(realTime!AA438="","",realTime!AA438)</f>
        <v/>
      </c>
      <c r="AB438" t="str">
        <f>IF(realTime!AB438="","",realTime!AB438)</f>
        <v/>
      </c>
    </row>
    <row r="439" spans="5:28" x14ac:dyDescent="0.25">
      <c r="E439" s="4"/>
      <c r="N439" s="61"/>
      <c r="O439" s="61"/>
      <c r="U439" s="4"/>
      <c r="V439" s="84"/>
      <c r="AA439" t="str">
        <f>IF(realTime!AA439="","",realTime!AA439)</f>
        <v/>
      </c>
      <c r="AB439" t="str">
        <f>IF(realTime!AB439="","",realTime!AB439)</f>
        <v/>
      </c>
    </row>
    <row r="440" spans="5:28" x14ac:dyDescent="0.25">
      <c r="E440" s="4"/>
      <c r="N440" s="61"/>
      <c r="O440" s="61"/>
      <c r="U440" s="4"/>
      <c r="V440" s="84"/>
      <c r="AA440" t="str">
        <f>IF(realTime!AA440="","",realTime!AA440)</f>
        <v/>
      </c>
      <c r="AB440" t="str">
        <f>IF(realTime!AB440="","",realTime!AB440)</f>
        <v/>
      </c>
    </row>
    <row r="441" spans="5:28" x14ac:dyDescent="0.25">
      <c r="E441" s="4"/>
      <c r="N441" s="61"/>
      <c r="O441" s="61"/>
      <c r="U441" s="4"/>
      <c r="V441" s="84"/>
      <c r="AA441" t="str">
        <f>IF(realTime!AA441="","",realTime!AA441)</f>
        <v/>
      </c>
      <c r="AB441" t="str">
        <f>IF(realTime!AB441="","",realTime!AB441)</f>
        <v/>
      </c>
    </row>
    <row r="442" spans="5:28" x14ac:dyDescent="0.25">
      <c r="E442" s="4"/>
      <c r="N442" s="61"/>
      <c r="O442" s="61"/>
      <c r="U442" s="4"/>
      <c r="V442" s="84"/>
      <c r="AA442" t="str">
        <f>IF(realTime!AA442="","",realTime!AA442)</f>
        <v/>
      </c>
      <c r="AB442" t="str">
        <f>IF(realTime!AB442="","",realTime!AB442)</f>
        <v/>
      </c>
    </row>
    <row r="443" spans="5:28" x14ac:dyDescent="0.25">
      <c r="E443" s="4"/>
      <c r="N443" s="61"/>
      <c r="O443" s="61"/>
      <c r="U443" s="4"/>
      <c r="V443" s="84"/>
      <c r="AA443" t="str">
        <f>IF(realTime!AA443="","",realTime!AA443)</f>
        <v/>
      </c>
      <c r="AB443" t="str">
        <f>IF(realTime!AB443="","",realTime!AB443)</f>
        <v/>
      </c>
    </row>
    <row r="444" spans="5:28" x14ac:dyDescent="0.25">
      <c r="E444" s="4"/>
      <c r="N444" s="61"/>
      <c r="O444" s="61"/>
      <c r="U444" s="4"/>
      <c r="V444" s="84"/>
      <c r="AA444" t="str">
        <f>IF(realTime!AA444="","",realTime!AA444)</f>
        <v/>
      </c>
      <c r="AB444" t="str">
        <f>IF(realTime!AB444="","",realTime!AB444)</f>
        <v/>
      </c>
    </row>
    <row r="445" spans="5:28" x14ac:dyDescent="0.25">
      <c r="E445" s="4"/>
      <c r="N445" s="61"/>
      <c r="O445" s="61"/>
      <c r="U445" s="4"/>
      <c r="V445" s="84"/>
      <c r="AA445" t="str">
        <f>IF(realTime!AA445="","",realTime!AA445)</f>
        <v/>
      </c>
      <c r="AB445" t="str">
        <f>IF(realTime!AB445="","",realTime!AB445)</f>
        <v/>
      </c>
    </row>
    <row r="446" spans="5:28" x14ac:dyDescent="0.25">
      <c r="E446" s="4"/>
      <c r="N446" s="61"/>
      <c r="O446" s="61"/>
      <c r="U446" s="4"/>
      <c r="V446" s="84"/>
      <c r="AA446" t="str">
        <f>IF(realTime!AA446="","",realTime!AA446)</f>
        <v/>
      </c>
      <c r="AB446" t="str">
        <f>IF(realTime!AB446="","",realTime!AB446)</f>
        <v/>
      </c>
    </row>
    <row r="447" spans="5:28" x14ac:dyDescent="0.25">
      <c r="E447" s="4"/>
      <c r="N447" s="61"/>
      <c r="O447" s="61"/>
      <c r="U447" s="4"/>
      <c r="V447" s="84"/>
      <c r="AA447" t="str">
        <f>IF(realTime!AA447="","",realTime!AA447)</f>
        <v/>
      </c>
      <c r="AB447" t="str">
        <f>IF(realTime!AB447="","",realTime!AB447)</f>
        <v/>
      </c>
    </row>
    <row r="448" spans="5:28" x14ac:dyDescent="0.25">
      <c r="E448" s="4"/>
      <c r="N448" s="61"/>
      <c r="O448" s="61"/>
      <c r="U448" s="4"/>
      <c r="V448" s="84"/>
      <c r="AA448" t="str">
        <f>IF(realTime!AA448="","",realTime!AA448)</f>
        <v/>
      </c>
      <c r="AB448" t="str">
        <f>IF(realTime!AB448="","",realTime!AB448)</f>
        <v/>
      </c>
    </row>
    <row r="449" spans="5:28" x14ac:dyDescent="0.25">
      <c r="E449" s="4"/>
      <c r="N449" s="61"/>
      <c r="O449" s="61"/>
      <c r="U449" s="4"/>
      <c r="V449" s="84"/>
      <c r="AA449" t="str">
        <f>IF(realTime!AA449="","",realTime!AA449)</f>
        <v/>
      </c>
      <c r="AB449" t="str">
        <f>IF(realTime!AB449="","",realTime!AB449)</f>
        <v/>
      </c>
    </row>
    <row r="450" spans="5:28" x14ac:dyDescent="0.25">
      <c r="E450" s="4"/>
      <c r="N450" s="61"/>
      <c r="O450" s="61"/>
      <c r="U450" s="4"/>
      <c r="V450" s="84"/>
      <c r="AA450" t="str">
        <f>IF(realTime!AA450="","",realTime!AA450)</f>
        <v/>
      </c>
      <c r="AB450" t="str">
        <f>IF(realTime!AB450="","",realTime!AB450)</f>
        <v/>
      </c>
    </row>
    <row r="451" spans="5:28" x14ac:dyDescent="0.25">
      <c r="E451" s="4"/>
      <c r="N451" s="61"/>
      <c r="O451" s="61"/>
      <c r="U451" s="4"/>
      <c r="V451" s="84"/>
      <c r="AA451" t="str">
        <f>IF(realTime!AA451="","",realTime!AA451)</f>
        <v/>
      </c>
      <c r="AB451" t="str">
        <f>IF(realTime!AB451="","",realTime!AB451)</f>
        <v/>
      </c>
    </row>
    <row r="452" spans="5:28" x14ac:dyDescent="0.25">
      <c r="E452" s="4"/>
      <c r="N452" s="61"/>
      <c r="O452" s="61"/>
      <c r="U452" s="4"/>
      <c r="V452" s="84"/>
      <c r="AA452" t="str">
        <f>IF(realTime!AA452="","",realTime!AA452)</f>
        <v/>
      </c>
      <c r="AB452" t="str">
        <f>IF(realTime!AB452="","",realTime!AB452)</f>
        <v/>
      </c>
    </row>
    <row r="453" spans="5:28" x14ac:dyDescent="0.25">
      <c r="E453" s="4"/>
      <c r="N453" s="61"/>
      <c r="O453" s="61"/>
      <c r="U453" s="4"/>
      <c r="V453" s="84"/>
      <c r="AA453" t="str">
        <f>IF(realTime!AA453="","",realTime!AA453)</f>
        <v/>
      </c>
      <c r="AB453" t="str">
        <f>IF(realTime!AB453="","",realTime!AB453)</f>
        <v/>
      </c>
    </row>
    <row r="454" spans="5:28" x14ac:dyDescent="0.25">
      <c r="E454" s="4"/>
      <c r="N454" s="61"/>
      <c r="O454" s="61"/>
      <c r="U454" s="4"/>
      <c r="V454" s="84"/>
      <c r="AA454" t="str">
        <f>IF(realTime!AA454="","",realTime!AA454)</f>
        <v/>
      </c>
      <c r="AB454" t="str">
        <f>IF(realTime!AB454="","",realTime!AB454)</f>
        <v/>
      </c>
    </row>
    <row r="455" spans="5:28" x14ac:dyDescent="0.25">
      <c r="E455" s="4"/>
      <c r="N455" s="61"/>
      <c r="O455" s="61"/>
      <c r="U455" s="4"/>
      <c r="V455" s="84"/>
      <c r="AA455" t="str">
        <f>IF(realTime!AA455="","",realTime!AA455)</f>
        <v/>
      </c>
      <c r="AB455" t="str">
        <f>IF(realTime!AB455="","",realTime!AB455)</f>
        <v/>
      </c>
    </row>
    <row r="456" spans="5:28" x14ac:dyDescent="0.25">
      <c r="E456" s="4"/>
      <c r="N456" s="61"/>
      <c r="O456" s="61"/>
      <c r="U456" s="4"/>
      <c r="V456" s="84"/>
      <c r="AA456" t="str">
        <f>IF(realTime!AA456="","",realTime!AA456)</f>
        <v/>
      </c>
      <c r="AB456" t="str">
        <f>IF(realTime!AB456="","",realTime!AB456)</f>
        <v/>
      </c>
    </row>
    <row r="457" spans="5:28" x14ac:dyDescent="0.25">
      <c r="E457" s="4"/>
      <c r="N457" s="61"/>
      <c r="O457" s="61"/>
      <c r="U457" s="4"/>
      <c r="V457" s="84"/>
      <c r="AA457" t="str">
        <f>IF(realTime!AA457="","",realTime!AA457)</f>
        <v/>
      </c>
      <c r="AB457" t="str">
        <f>IF(realTime!AB457="","",realTime!AB457)</f>
        <v/>
      </c>
    </row>
    <row r="458" spans="5:28" x14ac:dyDescent="0.25">
      <c r="E458" s="4"/>
      <c r="N458" s="61"/>
      <c r="O458" s="61"/>
      <c r="U458" s="4"/>
      <c r="V458" s="84"/>
      <c r="AA458" t="str">
        <f>IF(realTime!AA458="","",realTime!AA458)</f>
        <v/>
      </c>
      <c r="AB458" t="str">
        <f>IF(realTime!AB458="","",realTime!AB458)</f>
        <v/>
      </c>
    </row>
    <row r="459" spans="5:28" x14ac:dyDescent="0.25">
      <c r="E459" s="4"/>
      <c r="N459" s="61"/>
      <c r="O459" s="61"/>
      <c r="U459" s="4"/>
      <c r="V459" s="84"/>
      <c r="AA459" t="str">
        <f>IF(realTime!AA459="","",realTime!AA459)</f>
        <v/>
      </c>
      <c r="AB459" t="str">
        <f>IF(realTime!AB459="","",realTime!AB459)</f>
        <v/>
      </c>
    </row>
    <row r="460" spans="5:28" x14ac:dyDescent="0.25">
      <c r="E460" s="4"/>
      <c r="N460" s="61"/>
      <c r="O460" s="61"/>
      <c r="U460" s="4"/>
      <c r="V460" s="84"/>
      <c r="AA460" t="str">
        <f>IF(realTime!AA460="","",realTime!AA460)</f>
        <v/>
      </c>
      <c r="AB460" t="str">
        <f>IF(realTime!AB460="","",realTime!AB460)</f>
        <v/>
      </c>
    </row>
    <row r="461" spans="5:28" x14ac:dyDescent="0.25">
      <c r="E461" s="4"/>
      <c r="N461" s="61"/>
      <c r="O461" s="61"/>
      <c r="U461" s="4"/>
      <c r="V461" s="84"/>
      <c r="AA461" t="str">
        <f>IF(realTime!AA461="","",realTime!AA461)</f>
        <v/>
      </c>
      <c r="AB461" t="str">
        <f>IF(realTime!AB461="","",realTime!AB461)</f>
        <v/>
      </c>
    </row>
    <row r="462" spans="5:28" x14ac:dyDescent="0.25">
      <c r="E462" s="4"/>
      <c r="N462" s="61"/>
      <c r="O462" s="61"/>
      <c r="U462" s="4"/>
      <c r="V462" s="84"/>
      <c r="AA462" t="str">
        <f>IF(realTime!AA462="","",realTime!AA462)</f>
        <v/>
      </c>
      <c r="AB462" t="str">
        <f>IF(realTime!AB462="","",realTime!AB462)</f>
        <v/>
      </c>
    </row>
    <row r="463" spans="5:28" x14ac:dyDescent="0.25">
      <c r="E463" s="4"/>
      <c r="N463" s="61"/>
      <c r="O463" s="61"/>
      <c r="U463" s="4"/>
      <c r="V463" s="84"/>
      <c r="AA463" t="str">
        <f>IF(realTime!AA463="","",realTime!AA463)</f>
        <v/>
      </c>
      <c r="AB463" t="str">
        <f>IF(realTime!AB463="","",realTime!AB463)</f>
        <v/>
      </c>
    </row>
    <row r="464" spans="5:28" x14ac:dyDescent="0.25">
      <c r="E464" s="4"/>
      <c r="N464" s="61"/>
      <c r="O464" s="61"/>
      <c r="U464" s="4"/>
      <c r="V464" s="84"/>
      <c r="AA464" t="str">
        <f>IF(realTime!AA464="","",realTime!AA464)</f>
        <v/>
      </c>
      <c r="AB464" t="str">
        <f>IF(realTime!AB464="","",realTime!AB464)</f>
        <v/>
      </c>
    </row>
    <row r="465" spans="5:28" x14ac:dyDescent="0.25">
      <c r="E465" s="4"/>
      <c r="N465" s="61"/>
      <c r="O465" s="61"/>
      <c r="U465" s="4"/>
      <c r="V465" s="84"/>
      <c r="AA465" t="str">
        <f>IF(realTime!AA465="","",realTime!AA465)</f>
        <v/>
      </c>
      <c r="AB465" t="str">
        <f>IF(realTime!AB465="","",realTime!AB465)</f>
        <v/>
      </c>
    </row>
    <row r="466" spans="5:28" x14ac:dyDescent="0.25">
      <c r="E466" s="4"/>
      <c r="N466" s="61"/>
      <c r="O466" s="61"/>
      <c r="U466" s="4"/>
      <c r="V466" s="84"/>
      <c r="AA466" t="str">
        <f>IF(realTime!AA466="","",realTime!AA466)</f>
        <v/>
      </c>
      <c r="AB466" t="str">
        <f>IF(realTime!AB466="","",realTime!AB466)</f>
        <v/>
      </c>
    </row>
    <row r="467" spans="5:28" x14ac:dyDescent="0.25">
      <c r="E467" s="4"/>
      <c r="N467" s="61"/>
      <c r="O467" s="61"/>
      <c r="U467" s="4"/>
      <c r="V467" s="84"/>
      <c r="AA467" t="str">
        <f>IF(realTime!AA467="","",realTime!AA467)</f>
        <v/>
      </c>
      <c r="AB467" t="str">
        <f>IF(realTime!AB467="","",realTime!AB467)</f>
        <v/>
      </c>
    </row>
    <row r="468" spans="5:28" x14ac:dyDescent="0.25">
      <c r="E468" s="4"/>
      <c r="N468" s="61"/>
      <c r="O468" s="61"/>
      <c r="U468" s="4"/>
      <c r="V468" s="84"/>
      <c r="AA468" t="str">
        <f>IF(realTime!AA468="","",realTime!AA468)</f>
        <v/>
      </c>
      <c r="AB468" t="str">
        <f>IF(realTime!AB468="","",realTime!AB468)</f>
        <v/>
      </c>
    </row>
    <row r="469" spans="5:28" x14ac:dyDescent="0.25">
      <c r="E469" s="4"/>
      <c r="N469" s="61"/>
      <c r="O469" s="61"/>
      <c r="U469" s="4"/>
      <c r="V469" s="84"/>
      <c r="AA469" t="str">
        <f>IF(realTime!AA469="","",realTime!AA469)</f>
        <v/>
      </c>
      <c r="AB469" t="str">
        <f>IF(realTime!AB469="","",realTime!AB469)</f>
        <v/>
      </c>
    </row>
    <row r="470" spans="5:28" x14ac:dyDescent="0.25">
      <c r="E470" s="4"/>
      <c r="N470" s="61"/>
      <c r="O470" s="61"/>
      <c r="U470" s="4"/>
      <c r="V470" s="84"/>
      <c r="AA470" t="str">
        <f>IF(realTime!AA470="","",realTime!AA470)</f>
        <v/>
      </c>
      <c r="AB470" t="str">
        <f>IF(realTime!AB470="","",realTime!AB470)</f>
        <v/>
      </c>
    </row>
    <row r="471" spans="5:28" x14ac:dyDescent="0.25">
      <c r="E471" s="4"/>
      <c r="N471" s="61"/>
      <c r="O471" s="61"/>
      <c r="U471" s="4"/>
      <c r="V471" s="84"/>
      <c r="AA471" t="str">
        <f>IF(realTime!AA471="","",realTime!AA471)</f>
        <v/>
      </c>
      <c r="AB471" t="str">
        <f>IF(realTime!AB471="","",realTime!AB471)</f>
        <v/>
      </c>
    </row>
    <row r="472" spans="5:28" x14ac:dyDescent="0.25">
      <c r="E472" s="4"/>
      <c r="N472" s="61"/>
      <c r="O472" s="61"/>
      <c r="U472" s="4"/>
      <c r="V472" s="84"/>
      <c r="AA472" t="str">
        <f>IF(realTime!AA472="","",realTime!AA472)</f>
        <v/>
      </c>
      <c r="AB472" t="str">
        <f>IF(realTime!AB472="","",realTime!AB472)</f>
        <v/>
      </c>
    </row>
    <row r="473" spans="5:28" x14ac:dyDescent="0.25">
      <c r="E473" s="4"/>
      <c r="N473" s="61"/>
      <c r="O473" s="61"/>
      <c r="U473" s="4"/>
      <c r="V473" s="84"/>
      <c r="AA473" t="str">
        <f>IF(realTime!AA473="","",realTime!AA473)</f>
        <v/>
      </c>
      <c r="AB473" t="str">
        <f>IF(realTime!AB473="","",realTime!AB473)</f>
        <v/>
      </c>
    </row>
    <row r="474" spans="5:28" x14ac:dyDescent="0.25">
      <c r="E474" s="4"/>
      <c r="N474" s="61"/>
      <c r="O474" s="61"/>
      <c r="U474" s="4"/>
      <c r="V474" s="84"/>
      <c r="AA474" t="str">
        <f>IF(realTime!AA474="","",realTime!AA474)</f>
        <v/>
      </c>
      <c r="AB474" t="str">
        <f>IF(realTime!AB474="","",realTime!AB474)</f>
        <v/>
      </c>
    </row>
    <row r="475" spans="5:28" x14ac:dyDescent="0.25">
      <c r="E475" s="4"/>
      <c r="N475" s="61"/>
      <c r="O475" s="61"/>
      <c r="U475" s="4"/>
      <c r="V475" s="84"/>
      <c r="AA475" t="str">
        <f>IF(realTime!AA475="","",realTime!AA475)</f>
        <v/>
      </c>
      <c r="AB475" t="str">
        <f>IF(realTime!AB475="","",realTime!AB475)</f>
        <v/>
      </c>
    </row>
    <row r="476" spans="5:28" x14ac:dyDescent="0.25">
      <c r="E476" s="4"/>
      <c r="N476" s="61"/>
      <c r="O476" s="61"/>
      <c r="U476" s="4"/>
      <c r="V476" s="84"/>
      <c r="AA476" t="str">
        <f>IF(realTime!AA476="","",realTime!AA476)</f>
        <v/>
      </c>
      <c r="AB476" t="str">
        <f>IF(realTime!AB476="","",realTime!AB476)</f>
        <v/>
      </c>
    </row>
    <row r="477" spans="5:28" x14ac:dyDescent="0.25">
      <c r="E477" s="4"/>
      <c r="N477" s="61"/>
      <c r="O477" s="61"/>
      <c r="U477" s="4"/>
      <c r="V477" s="84"/>
      <c r="AA477" t="str">
        <f>IF(realTime!AA477="","",realTime!AA477)</f>
        <v/>
      </c>
      <c r="AB477" t="str">
        <f>IF(realTime!AB477="","",realTime!AB477)</f>
        <v/>
      </c>
    </row>
    <row r="478" spans="5:28" x14ac:dyDescent="0.25">
      <c r="E478" s="4"/>
      <c r="N478" s="61"/>
      <c r="O478" s="61"/>
      <c r="U478" s="4"/>
      <c r="V478" s="84"/>
      <c r="AA478" t="str">
        <f>IF(realTime!AA478="","",realTime!AA478)</f>
        <v/>
      </c>
      <c r="AB478" t="str">
        <f>IF(realTime!AB478="","",realTime!AB478)</f>
        <v/>
      </c>
    </row>
    <row r="479" spans="5:28" x14ac:dyDescent="0.25">
      <c r="E479" s="4"/>
      <c r="N479" s="61"/>
      <c r="O479" s="61"/>
      <c r="U479" s="4"/>
      <c r="V479" s="84"/>
      <c r="AA479" t="str">
        <f>IF(realTime!AA479="","",realTime!AA479)</f>
        <v/>
      </c>
      <c r="AB479" t="str">
        <f>IF(realTime!AB479="","",realTime!AB479)</f>
        <v/>
      </c>
    </row>
    <row r="480" spans="5:28" x14ac:dyDescent="0.25">
      <c r="E480" s="4"/>
      <c r="N480" s="61"/>
      <c r="O480" s="61"/>
      <c r="U480" s="4"/>
      <c r="V480" s="84"/>
      <c r="AA480" t="str">
        <f>IF(realTime!AA480="","",realTime!AA480)</f>
        <v/>
      </c>
      <c r="AB480" t="str">
        <f>IF(realTime!AB480="","",realTime!AB480)</f>
        <v/>
      </c>
    </row>
    <row r="481" spans="5:28" x14ac:dyDescent="0.25">
      <c r="E481" s="4"/>
      <c r="N481" s="61"/>
      <c r="O481" s="61"/>
      <c r="U481" s="4"/>
      <c r="V481" s="84"/>
      <c r="AA481" t="str">
        <f>IF(realTime!AA481="","",realTime!AA481)</f>
        <v/>
      </c>
      <c r="AB481" t="str">
        <f>IF(realTime!AB481="","",realTime!AB481)</f>
        <v/>
      </c>
    </row>
    <row r="482" spans="5:28" x14ac:dyDescent="0.25">
      <c r="E482" s="4"/>
      <c r="N482" s="61"/>
      <c r="O482" s="61"/>
      <c r="U482" s="4"/>
      <c r="V482" s="84"/>
      <c r="AA482" t="str">
        <f>IF(realTime!AA482="","",realTime!AA482)</f>
        <v/>
      </c>
      <c r="AB482" t="str">
        <f>IF(realTime!AB482="","",realTime!AB482)</f>
        <v/>
      </c>
    </row>
    <row r="483" spans="5:28" x14ac:dyDescent="0.25">
      <c r="E483" s="4"/>
      <c r="N483" s="61"/>
      <c r="O483" s="61"/>
      <c r="U483" s="4"/>
      <c r="V483" s="84"/>
      <c r="AA483" t="str">
        <f>IF(realTime!AA483="","",realTime!AA483)</f>
        <v/>
      </c>
      <c r="AB483" t="str">
        <f>IF(realTime!AB483="","",realTime!AB483)</f>
        <v/>
      </c>
    </row>
    <row r="484" spans="5:28" x14ac:dyDescent="0.25">
      <c r="E484" s="4"/>
      <c r="N484" s="61"/>
      <c r="O484" s="61"/>
      <c r="U484" s="4"/>
      <c r="V484" s="84"/>
      <c r="AA484" t="str">
        <f>IF(realTime!AA484="","",realTime!AA484)</f>
        <v/>
      </c>
      <c r="AB484" t="str">
        <f>IF(realTime!AB484="","",realTime!AB484)</f>
        <v/>
      </c>
    </row>
    <row r="485" spans="5:28" x14ac:dyDescent="0.25">
      <c r="E485" s="4"/>
      <c r="N485" s="61"/>
      <c r="O485" s="61"/>
      <c r="U485" s="4"/>
      <c r="V485" s="84"/>
      <c r="AA485" t="str">
        <f>IF(realTime!AA485="","",realTime!AA485)</f>
        <v/>
      </c>
      <c r="AB485" t="str">
        <f>IF(realTime!AB485="","",realTime!AB485)</f>
        <v/>
      </c>
    </row>
    <row r="486" spans="5:28" x14ac:dyDescent="0.25">
      <c r="E486" s="4"/>
      <c r="N486" s="61"/>
      <c r="O486" s="61"/>
      <c r="U486" s="4"/>
      <c r="V486" s="84"/>
      <c r="AA486" t="str">
        <f>IF(realTime!AA486="","",realTime!AA486)</f>
        <v/>
      </c>
      <c r="AB486" t="str">
        <f>IF(realTime!AB486="","",realTime!AB486)</f>
        <v/>
      </c>
    </row>
    <row r="487" spans="5:28" x14ac:dyDescent="0.25">
      <c r="E487" s="4"/>
      <c r="N487" s="61"/>
      <c r="O487" s="61"/>
      <c r="U487" s="4"/>
      <c r="V487" s="84"/>
      <c r="AA487" t="str">
        <f>IF(realTime!AA487="","",realTime!AA487)</f>
        <v/>
      </c>
      <c r="AB487" t="str">
        <f>IF(realTime!AB487="","",realTime!AB487)</f>
        <v/>
      </c>
    </row>
    <row r="488" spans="5:28" x14ac:dyDescent="0.25">
      <c r="E488" s="4"/>
      <c r="N488" s="61"/>
      <c r="O488" s="61"/>
      <c r="U488" s="4"/>
      <c r="V488" s="84"/>
      <c r="AA488" t="str">
        <f>IF(realTime!AA488="","",realTime!AA488)</f>
        <v/>
      </c>
      <c r="AB488" t="str">
        <f>IF(realTime!AB488="","",realTime!AB488)</f>
        <v/>
      </c>
    </row>
    <row r="489" spans="5:28" x14ac:dyDescent="0.25">
      <c r="E489" s="4"/>
      <c r="N489" s="61"/>
      <c r="O489" s="61"/>
      <c r="U489" s="4"/>
      <c r="V489" s="84"/>
      <c r="AA489" t="str">
        <f>IF(realTime!AA489="","",realTime!AA489)</f>
        <v/>
      </c>
      <c r="AB489" t="str">
        <f>IF(realTime!AB489="","",realTime!AB489)</f>
        <v/>
      </c>
    </row>
    <row r="490" spans="5:28" x14ac:dyDescent="0.25">
      <c r="E490" s="4"/>
      <c r="N490" s="61"/>
      <c r="O490" s="61"/>
      <c r="U490" s="4"/>
      <c r="V490" s="84"/>
      <c r="AA490" t="str">
        <f>IF(realTime!AA490="","",realTime!AA490)</f>
        <v/>
      </c>
      <c r="AB490" t="str">
        <f>IF(realTime!AB490="","",realTime!AB490)</f>
        <v/>
      </c>
    </row>
    <row r="491" spans="5:28" x14ac:dyDescent="0.25">
      <c r="E491" s="4"/>
      <c r="N491" s="61"/>
      <c r="O491" s="61"/>
      <c r="U491" s="4"/>
      <c r="V491" s="84"/>
      <c r="AA491" t="str">
        <f>IF(realTime!AA491="","",realTime!AA491)</f>
        <v/>
      </c>
      <c r="AB491" t="str">
        <f>IF(realTime!AB491="","",realTime!AB491)</f>
        <v/>
      </c>
    </row>
    <row r="492" spans="5:28" x14ac:dyDescent="0.25">
      <c r="E492" s="4"/>
      <c r="N492" s="61"/>
      <c r="O492" s="61"/>
      <c r="U492" s="4"/>
      <c r="V492" s="84"/>
      <c r="AA492" t="str">
        <f>IF(realTime!AA492="","",realTime!AA492)</f>
        <v/>
      </c>
      <c r="AB492" t="str">
        <f>IF(realTime!AB492="","",realTime!AB492)</f>
        <v/>
      </c>
    </row>
    <row r="493" spans="5:28" x14ac:dyDescent="0.25">
      <c r="E493" s="4"/>
      <c r="N493" s="61"/>
      <c r="O493" s="61"/>
      <c r="U493" s="4"/>
      <c r="V493" s="84"/>
      <c r="AA493" t="str">
        <f>IF(realTime!AA493="","",realTime!AA493)</f>
        <v/>
      </c>
      <c r="AB493" t="str">
        <f>IF(realTime!AB493="","",realTime!AB493)</f>
        <v/>
      </c>
    </row>
    <row r="494" spans="5:28" x14ac:dyDescent="0.25">
      <c r="E494" s="4"/>
      <c r="N494" s="61"/>
      <c r="O494" s="61"/>
      <c r="U494" s="4"/>
      <c r="V494" s="84"/>
      <c r="AA494" t="str">
        <f>IF(realTime!AA494="","",realTime!AA494)</f>
        <v/>
      </c>
      <c r="AB494" t="str">
        <f>IF(realTime!AB494="","",realTime!AB494)</f>
        <v/>
      </c>
    </row>
    <row r="495" spans="5:28" x14ac:dyDescent="0.25">
      <c r="E495" s="4"/>
      <c r="N495" s="61"/>
      <c r="O495" s="61"/>
      <c r="U495" s="4"/>
      <c r="V495" s="84"/>
      <c r="AA495" t="str">
        <f>IF(realTime!AA495="","",realTime!AA495)</f>
        <v/>
      </c>
      <c r="AB495" t="str">
        <f>IF(realTime!AB495="","",realTime!AB495)</f>
        <v/>
      </c>
    </row>
    <row r="496" spans="5:28" x14ac:dyDescent="0.25">
      <c r="E496" s="4"/>
      <c r="N496" s="61"/>
      <c r="O496" s="61"/>
      <c r="U496" s="4"/>
      <c r="V496" s="84"/>
      <c r="AA496" t="str">
        <f>IF(realTime!AA496="","",realTime!AA496)</f>
        <v/>
      </c>
      <c r="AB496" t="str">
        <f>IF(realTime!AB496="","",realTime!AB496)</f>
        <v/>
      </c>
    </row>
    <row r="497" spans="1:28" x14ac:dyDescent="0.25">
      <c r="E497" s="4"/>
      <c r="N497" s="61"/>
      <c r="O497" s="61"/>
      <c r="U497" s="4"/>
      <c r="V497" s="84"/>
      <c r="AA497" t="str">
        <f>IF(realTime!AA497="","",realTime!AA497)</f>
        <v/>
      </c>
      <c r="AB497" t="str">
        <f>IF(realTime!AB497="","",realTime!AB497)</f>
        <v/>
      </c>
    </row>
    <row r="498" spans="1:28" x14ac:dyDescent="0.25">
      <c r="E498" s="4"/>
      <c r="N498" s="61"/>
      <c r="O498" s="61"/>
      <c r="U498" s="4"/>
      <c r="V498" s="84"/>
      <c r="AA498" t="str">
        <f>IF(realTime!AA498="","",realTime!AA498)</f>
        <v/>
      </c>
      <c r="AB498" t="str">
        <f>IF(realTime!AB498="","",realTime!AB498)</f>
        <v/>
      </c>
    </row>
    <row r="499" spans="1:28" x14ac:dyDescent="0.25">
      <c r="E499" s="4"/>
      <c r="N499" s="61"/>
      <c r="O499" s="61"/>
      <c r="U499" s="4"/>
      <c r="V499" s="84"/>
      <c r="AA499" t="str">
        <f>IF(realTime!AA499="","",realTime!AA499)</f>
        <v/>
      </c>
      <c r="AB499" t="str">
        <f>IF(realTime!AB499="","",realTime!AB499)</f>
        <v/>
      </c>
    </row>
    <row r="500" spans="1:28" x14ac:dyDescent="0.25">
      <c r="E500" s="4"/>
      <c r="N500" s="61"/>
      <c r="O500" s="61"/>
      <c r="U500" s="4"/>
      <c r="V500" s="84"/>
      <c r="AA500" t="str">
        <f>IF(realTime!AA500="","",realTime!AA500)</f>
        <v/>
      </c>
      <c r="AB500" t="str">
        <f>IF(realTime!AB500="","",realTime!AB500)</f>
        <v/>
      </c>
    </row>
    <row r="501" spans="1:28" x14ac:dyDescent="0.25">
      <c r="A501" t="str">
        <f>IF(realTime!A501="","",realTime!A501)</f>
        <v/>
      </c>
      <c r="B501" t="str">
        <f>IF(realTime!B501="","",realTime!B501)</f>
        <v/>
      </c>
      <c r="C501" t="str">
        <f>IF(realTime!C501="","",realTime!C501)</f>
        <v/>
      </c>
      <c r="D501" t="str">
        <f>IF(realTime!D501="","",realTime!D501)</f>
        <v/>
      </c>
      <c r="E501" s="4" t="str">
        <f>IF(realTime!E501="","",realTime!E501)</f>
        <v/>
      </c>
      <c r="F501" t="str">
        <f>IF(realTime!F501="","",realTime!F501)</f>
        <v/>
      </c>
      <c r="G501" s="5" t="str">
        <f>IF(realTime!G501="","",realTime!G501)</f>
        <v/>
      </c>
      <c r="H501" t="str">
        <f>IF(realTime!H501="","",realTime!H501)</f>
        <v/>
      </c>
      <c r="I501" t="str">
        <f>IF(realTime!I501="","",realTime!I501)</f>
        <v/>
      </c>
      <c r="J501" s="5" t="str">
        <f>IF(realTime!J501="","",realTime!J501)</f>
        <v/>
      </c>
      <c r="K501" t="str">
        <f>IF(realTime!K501="","",realTime!K501)</f>
        <v/>
      </c>
      <c r="L501" t="str">
        <f>IF(realTime!L501="","",realTime!L501)</f>
        <v/>
      </c>
      <c r="M501" s="5" t="str">
        <f>IF(realTime!M501="","",realTime!M501)</f>
        <v/>
      </c>
      <c r="N501" s="61" t="str">
        <f>IF(realTime!N501="","",realTime!N501)</f>
        <v/>
      </c>
      <c r="O501" s="61" t="str">
        <f>IF(realTime!O501="","",realTime!O501)</f>
        <v/>
      </c>
      <c r="P501" s="61" t="str">
        <f>IF(realTime!P501="","",realTime!P501)</f>
        <v/>
      </c>
      <c r="Q501" s="5" t="str">
        <f>IF(realTime!Q501="","",realTime!Q501)</f>
        <v/>
      </c>
      <c r="R501" t="str">
        <f>IF(realTime!R501="","",realTime!R501)</f>
        <v/>
      </c>
      <c r="S501" t="str">
        <f>IF(realTime!S501="","",realTime!S501)</f>
        <v/>
      </c>
      <c r="T501" s="5" t="str">
        <f>IF(realTime!T501="","",realTime!T501)</f>
        <v/>
      </c>
      <c r="U501" s="4" t="str">
        <f>IF(realTime!U501="","",realTime!U501)</f>
        <v/>
      </c>
      <c r="V501" s="84" t="str">
        <f>IF(realTime!V501="","",realTime!V501)</f>
        <v/>
      </c>
      <c r="W501" s="5" t="str">
        <f>IF(realTime!W501="","",realTime!W501)</f>
        <v/>
      </c>
      <c r="X501" t="str">
        <f>IF(realTime!X501="","",realTime!X501)</f>
        <v/>
      </c>
      <c r="Y501" t="str">
        <f>IF(realTime!Y501="","",realTime!Y501)</f>
        <v/>
      </c>
      <c r="Z501" s="5" t="str">
        <f>IF(realTime!Z501="","",realTime!Z501)</f>
        <v/>
      </c>
      <c r="AA501" t="str">
        <f>IF(realTime!AA501="","",realTime!AA501)</f>
        <v/>
      </c>
      <c r="AB501" t="str">
        <f>IF(realTime!AB501="","",realTime!AB501)</f>
        <v/>
      </c>
    </row>
    <row r="502" spans="1:28" x14ac:dyDescent="0.25">
      <c r="A502" t="str">
        <f>IF(realTime!A502="","",realTime!A502)</f>
        <v/>
      </c>
      <c r="B502" t="str">
        <f>IF(realTime!B502="","",realTime!B502)</f>
        <v/>
      </c>
      <c r="C502" t="str">
        <f>IF(realTime!C502="","",realTime!C502)</f>
        <v/>
      </c>
      <c r="D502" t="str">
        <f>IF(realTime!D502="","",realTime!D502)</f>
        <v/>
      </c>
      <c r="E502" s="4" t="str">
        <f>IF(realTime!E502="","",realTime!E502)</f>
        <v/>
      </c>
      <c r="F502" t="str">
        <f>IF(realTime!F502="","",realTime!F502)</f>
        <v/>
      </c>
      <c r="G502" s="5" t="str">
        <f>IF(realTime!G502="","",realTime!G502)</f>
        <v/>
      </c>
      <c r="H502" t="str">
        <f>IF(realTime!H502="","",realTime!H502)</f>
        <v/>
      </c>
      <c r="I502" t="str">
        <f>IF(realTime!I502="","",realTime!I502)</f>
        <v/>
      </c>
      <c r="J502" s="5" t="str">
        <f>IF(realTime!J502="","",realTime!J502)</f>
        <v/>
      </c>
      <c r="K502" t="str">
        <f>IF(realTime!K502="","",realTime!K502)</f>
        <v/>
      </c>
      <c r="L502" t="str">
        <f>IF(realTime!L502="","",realTime!L502)</f>
        <v/>
      </c>
      <c r="M502" s="5" t="str">
        <f>IF(realTime!M502="","",realTime!M502)</f>
        <v/>
      </c>
      <c r="N502" s="61" t="str">
        <f>IF(realTime!N502="","",realTime!N502)</f>
        <v/>
      </c>
      <c r="O502" s="61" t="str">
        <f>IF(realTime!O502="","",realTime!O502)</f>
        <v/>
      </c>
      <c r="P502" s="61" t="str">
        <f>IF(realTime!P502="","",realTime!P502)</f>
        <v/>
      </c>
      <c r="Q502" s="5" t="str">
        <f>IF(realTime!Q502="","",realTime!Q502)</f>
        <v/>
      </c>
      <c r="R502" t="str">
        <f>IF(realTime!R502="","",realTime!R502)</f>
        <v/>
      </c>
      <c r="S502" t="str">
        <f>IF(realTime!S502="","",realTime!S502)</f>
        <v/>
      </c>
      <c r="T502" s="5" t="str">
        <f>IF(realTime!T502="","",realTime!T502)</f>
        <v/>
      </c>
      <c r="U502" s="4" t="str">
        <f>IF(realTime!U502="","",realTime!U502)</f>
        <v/>
      </c>
      <c r="V502" s="84" t="str">
        <f>IF(realTime!V502="","",realTime!V502)</f>
        <v/>
      </c>
      <c r="W502" s="5" t="str">
        <f>IF(realTime!W502="","",realTime!W502)</f>
        <v/>
      </c>
      <c r="X502" t="str">
        <f>IF(realTime!X502="","",realTime!X502)</f>
        <v/>
      </c>
      <c r="Y502" t="str">
        <f>IF(realTime!Y502="","",realTime!Y502)</f>
        <v/>
      </c>
      <c r="Z502" s="5" t="str">
        <f>IF(realTime!Z502="","",realTime!Z502)</f>
        <v/>
      </c>
      <c r="AA502" t="str">
        <f>IF(realTime!AA502="","",realTime!AA502)</f>
        <v/>
      </c>
      <c r="AB502" t="str">
        <f>IF(realTime!AB502="","",realTime!AB502)</f>
        <v/>
      </c>
    </row>
  </sheetData>
  <mergeCells count="7">
    <mergeCell ref="AA1:AB1"/>
    <mergeCell ref="A1:I1"/>
    <mergeCell ref="K1:L1"/>
    <mergeCell ref="N1:O1"/>
    <mergeCell ref="R1:S1"/>
    <mergeCell ref="U1:V1"/>
    <mergeCell ref="X1:Y1"/>
  </mergeCell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U109"/>
  <sheetViews>
    <sheetView workbookViewId="0">
      <selection activeCell="Q17" sqref="Q17"/>
    </sheetView>
  </sheetViews>
  <sheetFormatPr defaultRowHeight="15" x14ac:dyDescent="0.25"/>
  <cols>
    <col min="1" max="1" width="20" bestFit="1" customWidth="1"/>
    <col min="2" max="3" width="12.42578125" bestFit="1" customWidth="1"/>
    <col min="4" max="4" width="8.85546875" bestFit="1" customWidth="1"/>
    <col min="5" max="5" width="12.85546875" bestFit="1" customWidth="1"/>
    <col min="6" max="6" width="15.5703125" style="105" bestFit="1" customWidth="1"/>
    <col min="7" max="7" width="10.85546875" style="61" bestFit="1" customWidth="1"/>
    <col min="8" max="8" width="11.28515625" style="61" bestFit="1" customWidth="1"/>
    <col min="9" max="9" width="8" style="61" bestFit="1" customWidth="1"/>
    <col min="10" max="10" width="16.140625" style="84" bestFit="1" customWidth="1"/>
    <col min="11" max="11" width="13.7109375" style="105" bestFit="1" customWidth="1"/>
    <col min="12" max="12" width="17.85546875" style="105" bestFit="1" customWidth="1"/>
    <col min="13" max="13" width="12.5703125" style="61" bestFit="1" customWidth="1"/>
    <col min="14" max="14" width="14.7109375" style="61" bestFit="1" customWidth="1"/>
    <col min="15" max="15" width="47.5703125" style="61" bestFit="1" customWidth="1"/>
    <col min="16" max="16" width="7.42578125" customWidth="1"/>
    <col min="17" max="17" width="35.140625" bestFit="1" customWidth="1"/>
    <col min="18" max="18" width="23.28515625" bestFit="1" customWidth="1"/>
    <col min="20" max="20" width="20.7109375" bestFit="1" customWidth="1"/>
    <col min="21" max="21" width="20.5703125" bestFit="1" customWidth="1"/>
  </cols>
  <sheetData>
    <row r="1" spans="1:21" x14ac:dyDescent="0.25">
      <c r="A1" s="30" t="s">
        <v>173</v>
      </c>
      <c r="B1" s="31" t="s">
        <v>174</v>
      </c>
      <c r="C1" s="31" t="s">
        <v>175</v>
      </c>
      <c r="D1" s="31" t="s">
        <v>15</v>
      </c>
      <c r="E1" s="31" t="s">
        <v>176</v>
      </c>
      <c r="F1" s="31" t="s">
        <v>643</v>
      </c>
      <c r="G1" s="31" t="s">
        <v>1</v>
      </c>
      <c r="H1" s="31" t="s">
        <v>2</v>
      </c>
      <c r="I1" s="68" t="s">
        <v>4</v>
      </c>
      <c r="J1" s="68" t="s">
        <v>589</v>
      </c>
      <c r="K1" s="68" t="s">
        <v>644</v>
      </c>
      <c r="L1" s="68" t="s">
        <v>645</v>
      </c>
      <c r="M1" s="68" t="s">
        <v>509</v>
      </c>
      <c r="N1" s="68" t="s">
        <v>510</v>
      </c>
      <c r="O1" s="68" t="s">
        <v>511</v>
      </c>
      <c r="P1" s="7"/>
      <c r="Q1" s="32" t="s">
        <v>177</v>
      </c>
      <c r="R1" s="33" t="s">
        <v>178</v>
      </c>
      <c r="T1" s="32" t="s">
        <v>179</v>
      </c>
      <c r="U1" s="34"/>
    </row>
    <row r="2" spans="1:21" x14ac:dyDescent="0.25">
      <c r="A2" s="35" t="s">
        <v>180</v>
      </c>
      <c r="B2" s="15" t="s">
        <v>181</v>
      </c>
      <c r="C2" s="15" t="s">
        <v>182</v>
      </c>
      <c r="D2" s="15" t="s">
        <v>183</v>
      </c>
      <c r="E2" s="15" t="s">
        <v>184</v>
      </c>
      <c r="F2" s="36" t="s">
        <v>646</v>
      </c>
      <c r="G2" s="15"/>
      <c r="H2" s="15" t="str">
        <f>"0#" &amp; C2 &amp; "TSY="</f>
        <v>0#AUSTSY=</v>
      </c>
      <c r="I2" s="15" t="str">
        <f>D2&amp;"IRS"</f>
        <v>AUDIRS</v>
      </c>
      <c r="J2" s="15" t="s">
        <v>633</v>
      </c>
      <c r="K2" s="15" t="s">
        <v>647</v>
      </c>
      <c r="L2" s="15" t="s">
        <v>648</v>
      </c>
      <c r="M2" s="5" t="s">
        <v>539</v>
      </c>
      <c r="N2" s="5" t="s">
        <v>538</v>
      </c>
      <c r="O2" s="5" t="s">
        <v>537</v>
      </c>
      <c r="Q2" s="35" t="s">
        <v>185</v>
      </c>
      <c r="R2" s="36" t="s">
        <v>186</v>
      </c>
      <c r="T2" s="37" t="s">
        <v>187</v>
      </c>
      <c r="U2" s="38" t="s">
        <v>188</v>
      </c>
    </row>
    <row r="3" spans="1:21" x14ac:dyDescent="0.25">
      <c r="A3" s="35" t="s">
        <v>189</v>
      </c>
      <c r="B3" s="15" t="s">
        <v>190</v>
      </c>
      <c r="C3" s="15" t="s">
        <v>191</v>
      </c>
      <c r="D3" s="15" t="s">
        <v>192</v>
      </c>
      <c r="E3" s="15" t="s">
        <v>193</v>
      </c>
      <c r="F3" s="36" t="s">
        <v>649</v>
      </c>
      <c r="G3" s="15"/>
      <c r="H3" s="15" t="str">
        <f>"0#" &amp; C3 &amp; "TSY="</f>
        <v>0#AUTTSY=</v>
      </c>
      <c r="I3" s="15" t="str">
        <f>D3&amp;"IRS"</f>
        <v>EURIRS</v>
      </c>
      <c r="J3" s="15" t="s">
        <v>592</v>
      </c>
      <c r="K3" s="15" t="s">
        <v>650</v>
      </c>
      <c r="L3" s="15" t="s">
        <v>651</v>
      </c>
      <c r="M3" s="5" t="s">
        <v>565</v>
      </c>
      <c r="N3" s="5" t="s">
        <v>563</v>
      </c>
      <c r="O3" s="5" t="s">
        <v>564</v>
      </c>
      <c r="Q3" s="35" t="s">
        <v>206</v>
      </c>
      <c r="R3" s="36" t="s">
        <v>186</v>
      </c>
      <c r="T3" s="35" t="s">
        <v>22</v>
      </c>
      <c r="U3" s="36" t="s">
        <v>22</v>
      </c>
    </row>
    <row r="4" spans="1:21" x14ac:dyDescent="0.25">
      <c r="A4" s="35" t="s">
        <v>196</v>
      </c>
      <c r="B4" s="15" t="s">
        <v>197</v>
      </c>
      <c r="C4" s="15" t="s">
        <v>198</v>
      </c>
      <c r="D4" s="15" t="s">
        <v>199</v>
      </c>
      <c r="E4" s="15" t="s">
        <v>200</v>
      </c>
      <c r="F4" s="36"/>
      <c r="G4" s="15"/>
      <c r="H4" s="15" t="str">
        <f>"0#" &amp; C4 &amp; "TSY="</f>
        <v>0#BGDTSY=</v>
      </c>
      <c r="I4" s="15"/>
      <c r="J4" s="15"/>
      <c r="K4" s="15"/>
      <c r="L4" s="15"/>
      <c r="M4" s="15"/>
      <c r="N4" s="15"/>
      <c r="O4" s="15"/>
      <c r="Q4" s="35" t="s">
        <v>194</v>
      </c>
      <c r="R4" s="36" t="s">
        <v>195</v>
      </c>
      <c r="T4" s="35" t="s">
        <v>25</v>
      </c>
      <c r="U4" s="36" t="s">
        <v>25</v>
      </c>
    </row>
    <row r="5" spans="1:21" x14ac:dyDescent="0.25">
      <c r="A5" s="35" t="s">
        <v>203</v>
      </c>
      <c r="B5" s="15" t="s">
        <v>204</v>
      </c>
      <c r="C5" s="15" t="s">
        <v>205</v>
      </c>
      <c r="D5" s="15" t="s">
        <v>192</v>
      </c>
      <c r="E5" s="15" t="s">
        <v>193</v>
      </c>
      <c r="F5" s="36" t="s">
        <v>649</v>
      </c>
      <c r="G5" s="15" t="str">
        <f t="shared" ref="G5:G28" si="0">"0#" &amp; B5 &amp; "TSYS="</f>
        <v>0#BETSYS=</v>
      </c>
      <c r="H5" s="15" t="str">
        <f>"0#" &amp; C5 &amp; "TSY="</f>
        <v>0#BELTSY=</v>
      </c>
      <c r="I5" s="15" t="str">
        <f>D5&amp;"IRS"</f>
        <v>EURIRS</v>
      </c>
      <c r="J5" s="15" t="s">
        <v>592</v>
      </c>
      <c r="K5" s="15" t="s">
        <v>650</v>
      </c>
      <c r="L5" s="15" t="s">
        <v>651</v>
      </c>
      <c r="M5" s="76" t="s">
        <v>572</v>
      </c>
      <c r="N5" s="5" t="s">
        <v>573</v>
      </c>
      <c r="O5" s="15" t="s">
        <v>574</v>
      </c>
      <c r="Q5" s="35" t="s">
        <v>201</v>
      </c>
      <c r="R5" s="36" t="s">
        <v>202</v>
      </c>
      <c r="T5" s="35" t="s">
        <v>30</v>
      </c>
      <c r="U5" s="36" t="s">
        <v>30</v>
      </c>
    </row>
    <row r="6" spans="1:21" x14ac:dyDescent="0.25">
      <c r="A6" s="35" t="s">
        <v>207</v>
      </c>
      <c r="B6" s="15" t="s">
        <v>208</v>
      </c>
      <c r="C6" s="15" t="s">
        <v>209</v>
      </c>
      <c r="D6" s="15" t="s">
        <v>210</v>
      </c>
      <c r="E6" s="15" t="s">
        <v>211</v>
      </c>
      <c r="F6" s="36"/>
      <c r="G6" s="15"/>
      <c r="H6" s="15" t="str">
        <f>"0#" &amp; C6 &amp; "TSY="</f>
        <v>0#BRATSY=</v>
      </c>
      <c r="I6" s="15"/>
      <c r="J6" s="15"/>
      <c r="K6" s="15"/>
      <c r="L6" s="15"/>
      <c r="M6" s="15"/>
      <c r="N6" s="15"/>
      <c r="O6" s="15"/>
      <c r="Q6" s="35" t="s">
        <v>212</v>
      </c>
      <c r="R6" s="36" t="s">
        <v>213</v>
      </c>
      <c r="T6" s="35" t="s">
        <v>34</v>
      </c>
      <c r="U6" s="36" t="s">
        <v>34</v>
      </c>
    </row>
    <row r="7" spans="1:21" x14ac:dyDescent="0.25">
      <c r="A7" s="35" t="s">
        <v>214</v>
      </c>
      <c r="B7" s="15" t="s">
        <v>215</v>
      </c>
      <c r="C7" s="15" t="s">
        <v>216</v>
      </c>
      <c r="D7" s="15" t="s">
        <v>217</v>
      </c>
      <c r="E7" s="15" t="s">
        <v>218</v>
      </c>
      <c r="F7" s="36"/>
      <c r="G7" s="15"/>
      <c r="H7" s="15"/>
      <c r="I7" s="15" t="str">
        <f>D7&amp;"IRS"</f>
        <v>BGNIRS</v>
      </c>
      <c r="J7" s="15"/>
      <c r="K7" s="15"/>
      <c r="L7" s="15"/>
      <c r="M7" s="15"/>
      <c r="N7" s="15"/>
      <c r="O7" s="15"/>
      <c r="Q7" s="35" t="s">
        <v>219</v>
      </c>
      <c r="R7" s="36" t="s">
        <v>220</v>
      </c>
      <c r="S7" s="39"/>
      <c r="T7" s="35" t="s">
        <v>221</v>
      </c>
      <c r="U7" s="36" t="s">
        <v>221</v>
      </c>
    </row>
    <row r="8" spans="1:21" x14ac:dyDescent="0.25">
      <c r="A8" s="35" t="s">
        <v>222</v>
      </c>
      <c r="B8" s="15" t="s">
        <v>223</v>
      </c>
      <c r="C8" s="15" t="s">
        <v>224</v>
      </c>
      <c r="D8" s="15" t="s">
        <v>225</v>
      </c>
      <c r="E8" s="15" t="s">
        <v>226</v>
      </c>
      <c r="F8" s="36" t="s">
        <v>652</v>
      </c>
      <c r="G8" s="15"/>
      <c r="H8" s="15" t="str">
        <f>"0#" &amp; C8 &amp; "TSY="</f>
        <v>0#CANTSY=</v>
      </c>
      <c r="I8" s="15" t="str">
        <f>D8&amp;"IRS"</f>
        <v>CADIRS</v>
      </c>
      <c r="J8" s="15" t="s">
        <v>595</v>
      </c>
      <c r="K8" s="15" t="s">
        <v>653</v>
      </c>
      <c r="L8" s="15" t="s">
        <v>654</v>
      </c>
      <c r="M8" s="76" t="s">
        <v>581</v>
      </c>
      <c r="N8" s="15"/>
      <c r="O8" s="15"/>
      <c r="Q8" s="35" t="s">
        <v>227</v>
      </c>
      <c r="R8" s="36" t="s">
        <v>228</v>
      </c>
      <c r="S8" s="39"/>
      <c r="T8" s="35" t="s">
        <v>37</v>
      </c>
      <c r="U8" s="36" t="s">
        <v>37</v>
      </c>
    </row>
    <row r="9" spans="1:21" x14ac:dyDescent="0.25">
      <c r="A9" s="35" t="s">
        <v>229</v>
      </c>
      <c r="B9" s="15" t="s">
        <v>230</v>
      </c>
      <c r="C9" s="15" t="s">
        <v>231</v>
      </c>
      <c r="D9" s="15" t="s">
        <v>232</v>
      </c>
      <c r="E9" s="15" t="s">
        <v>233</v>
      </c>
      <c r="F9" s="36" t="s">
        <v>655</v>
      </c>
      <c r="G9" s="15"/>
      <c r="H9" s="15" t="str">
        <f>"0#" &amp; C9 &amp; "TSY="</f>
        <v>0#CHLTSY=</v>
      </c>
      <c r="I9" s="15"/>
      <c r="J9" s="15"/>
      <c r="K9" s="15" t="s">
        <v>656</v>
      </c>
      <c r="L9" s="15" t="s">
        <v>657</v>
      </c>
      <c r="M9" s="15"/>
      <c r="N9" s="15"/>
      <c r="O9" s="15"/>
      <c r="Q9" s="35" t="s">
        <v>234</v>
      </c>
      <c r="R9" s="36" t="s">
        <v>235</v>
      </c>
      <c r="S9" s="39"/>
      <c r="T9" s="15" t="s">
        <v>236</v>
      </c>
      <c r="U9" s="36" t="s">
        <v>236</v>
      </c>
    </row>
    <row r="10" spans="1:21" x14ac:dyDescent="0.25">
      <c r="A10" s="35" t="s">
        <v>237</v>
      </c>
      <c r="B10" s="15" t="s">
        <v>238</v>
      </c>
      <c r="C10" s="15" t="s">
        <v>239</v>
      </c>
      <c r="D10" s="15" t="s">
        <v>240</v>
      </c>
      <c r="E10" s="15" t="s">
        <v>241</v>
      </c>
      <c r="F10" s="36" t="s">
        <v>658</v>
      </c>
      <c r="G10" s="15"/>
      <c r="H10" s="15" t="str">
        <f>"0#" &amp; C10 &amp; "TSY="</f>
        <v>0#CHNTSY=</v>
      </c>
      <c r="I10" s="15" t="str">
        <f>D10&amp;"IRS"</f>
        <v>CNYIRS</v>
      </c>
      <c r="J10" s="15"/>
      <c r="K10" s="15"/>
      <c r="L10" s="15"/>
      <c r="M10" s="15"/>
      <c r="N10" s="15"/>
      <c r="O10" s="15"/>
      <c r="Q10" s="35" t="s">
        <v>242</v>
      </c>
      <c r="R10" s="36" t="s">
        <v>243</v>
      </c>
      <c r="S10" s="39"/>
      <c r="T10" s="15"/>
      <c r="U10" s="36"/>
    </row>
    <row r="11" spans="1:21" x14ac:dyDescent="0.25">
      <c r="A11" s="35" t="s">
        <v>244</v>
      </c>
      <c r="B11" s="15" t="s">
        <v>245</v>
      </c>
      <c r="C11" s="15" t="s">
        <v>246</v>
      </c>
      <c r="D11" s="15" t="s">
        <v>247</v>
      </c>
      <c r="E11" s="15" t="s">
        <v>248</v>
      </c>
      <c r="F11" s="36"/>
      <c r="G11" s="15" t="str">
        <f t="shared" si="0"/>
        <v>0#HRTSYS=</v>
      </c>
      <c r="H11" s="15" t="str">
        <f>"0#" &amp; C11 &amp; "TSY="</f>
        <v>0#HRVTSY=</v>
      </c>
      <c r="I11" s="15"/>
      <c r="J11" s="15"/>
      <c r="K11" s="15"/>
      <c r="L11" s="15"/>
      <c r="M11" s="15"/>
      <c r="N11" s="15"/>
      <c r="O11" s="15"/>
      <c r="Q11" s="35" t="s">
        <v>249</v>
      </c>
      <c r="R11" s="36" t="s">
        <v>250</v>
      </c>
      <c r="S11" s="39"/>
      <c r="T11" s="15"/>
      <c r="U11" s="36"/>
    </row>
    <row r="12" spans="1:21" x14ac:dyDescent="0.25">
      <c r="A12" s="35" t="s">
        <v>257</v>
      </c>
      <c r="B12" s="15" t="s">
        <v>258</v>
      </c>
      <c r="C12" s="15" t="s">
        <v>259</v>
      </c>
      <c r="D12" s="15" t="s">
        <v>192</v>
      </c>
      <c r="E12" s="15" t="s">
        <v>193</v>
      </c>
      <c r="F12" s="36"/>
      <c r="G12" s="15"/>
      <c r="H12" s="15"/>
      <c r="I12" s="15" t="str">
        <f t="shared" ref="I12:I13" si="1">D12&amp;"IRS"</f>
        <v>EURIRS</v>
      </c>
      <c r="J12" s="15" t="s">
        <v>592</v>
      </c>
      <c r="K12" s="15" t="s">
        <v>650</v>
      </c>
      <c r="L12" s="15" t="s">
        <v>651</v>
      </c>
      <c r="M12" s="15"/>
      <c r="N12" s="15"/>
      <c r="O12" s="15"/>
      <c r="Q12" s="35" t="s">
        <v>256</v>
      </c>
      <c r="R12" s="36" t="s">
        <v>250</v>
      </c>
      <c r="S12" s="39"/>
      <c r="T12" s="15"/>
      <c r="U12" s="36"/>
    </row>
    <row r="13" spans="1:21" x14ac:dyDescent="0.25">
      <c r="A13" s="35" t="s">
        <v>251</v>
      </c>
      <c r="B13" s="15" t="s">
        <v>252</v>
      </c>
      <c r="C13" s="15" t="s">
        <v>253</v>
      </c>
      <c r="D13" s="15" t="s">
        <v>254</v>
      </c>
      <c r="E13" s="15" t="s">
        <v>255</v>
      </c>
      <c r="F13" s="36" t="s">
        <v>659</v>
      </c>
      <c r="G13" s="15" t="str">
        <f t="shared" ref="G13" si="2">"0#" &amp; B13 &amp; "TSYS="</f>
        <v>0#CZTSYS=</v>
      </c>
      <c r="H13" s="15" t="str">
        <f t="shared" ref="H13" si="3">"0#" &amp; C13 &amp; "TSY="</f>
        <v>0#CZETSY=</v>
      </c>
      <c r="I13" s="15" t="str">
        <f t="shared" si="1"/>
        <v>CZKIRS</v>
      </c>
      <c r="J13" s="15" t="s">
        <v>607</v>
      </c>
      <c r="K13" s="15" t="s">
        <v>660</v>
      </c>
      <c r="L13" s="15" t="s">
        <v>661</v>
      </c>
      <c r="M13" s="15"/>
      <c r="N13" s="15"/>
      <c r="O13" s="15"/>
      <c r="Q13" s="35" t="s">
        <v>260</v>
      </c>
      <c r="R13" s="36" t="s">
        <v>261</v>
      </c>
      <c r="S13" s="39"/>
      <c r="T13" s="15"/>
      <c r="U13" s="36"/>
    </row>
    <row r="14" spans="1:21" x14ac:dyDescent="0.25">
      <c r="A14" s="35" t="s">
        <v>262</v>
      </c>
      <c r="B14" s="15" t="s">
        <v>263</v>
      </c>
      <c r="C14" s="15" t="s">
        <v>264</v>
      </c>
      <c r="D14" s="15" t="s">
        <v>265</v>
      </c>
      <c r="E14" s="15" t="s">
        <v>266</v>
      </c>
      <c r="F14" s="36" t="s">
        <v>662</v>
      </c>
      <c r="G14" s="15"/>
      <c r="H14" s="15" t="str">
        <f>"0#" &amp; C14 &amp; "TSY="</f>
        <v>0#DNKTSY=</v>
      </c>
      <c r="I14" s="15" t="str">
        <f>D14&amp;"IRS"</f>
        <v>DKKIRS</v>
      </c>
      <c r="J14" s="15" t="s">
        <v>608</v>
      </c>
      <c r="K14" s="15" t="s">
        <v>663</v>
      </c>
      <c r="L14" s="15" t="s">
        <v>664</v>
      </c>
      <c r="M14" s="5" t="s">
        <v>637</v>
      </c>
      <c r="N14" s="5" t="s">
        <v>638</v>
      </c>
      <c r="O14" s="5" t="s">
        <v>639</v>
      </c>
      <c r="Q14" s="35" t="s">
        <v>267</v>
      </c>
      <c r="R14" s="36" t="s">
        <v>250</v>
      </c>
      <c r="S14" s="39"/>
      <c r="T14" s="15"/>
      <c r="U14" s="36"/>
    </row>
    <row r="15" spans="1:21" x14ac:dyDescent="0.25">
      <c r="A15" s="35" t="s">
        <v>268</v>
      </c>
      <c r="B15" s="15" t="s">
        <v>269</v>
      </c>
      <c r="C15" s="15" t="s">
        <v>270</v>
      </c>
      <c r="D15" s="15" t="s">
        <v>271</v>
      </c>
      <c r="E15" s="15" t="s">
        <v>200</v>
      </c>
      <c r="F15" s="36"/>
      <c r="G15" s="15" t="str">
        <f t="shared" si="0"/>
        <v>0#EGTSYS=</v>
      </c>
      <c r="H15" s="15" t="str">
        <f>"0#" &amp; C15 &amp; "TSY="</f>
        <v>0#EGYTSY=</v>
      </c>
      <c r="I15" s="15"/>
      <c r="J15" s="15"/>
      <c r="K15" s="15"/>
      <c r="L15" s="15"/>
      <c r="M15" s="15"/>
      <c r="N15" s="15"/>
      <c r="O15" s="15"/>
      <c r="Q15" s="35" t="s">
        <v>272</v>
      </c>
      <c r="R15" s="36" t="s">
        <v>250</v>
      </c>
      <c r="S15" s="39"/>
      <c r="T15" s="15"/>
      <c r="U15" s="36"/>
    </row>
    <row r="16" spans="1:21" x14ac:dyDescent="0.25">
      <c r="A16" s="35" t="s">
        <v>273</v>
      </c>
      <c r="B16" s="15" t="s">
        <v>274</v>
      </c>
      <c r="C16" s="15" t="s">
        <v>275</v>
      </c>
      <c r="D16" s="15" t="s">
        <v>192</v>
      </c>
      <c r="E16" s="15" t="s">
        <v>193</v>
      </c>
      <c r="F16" s="36" t="s">
        <v>649</v>
      </c>
      <c r="G16" s="15"/>
      <c r="H16" s="15"/>
      <c r="I16" s="15" t="str">
        <f t="shared" ref="I16:I21" si="4">D16&amp;"IRS"</f>
        <v>EURIRS</v>
      </c>
      <c r="J16" s="15" t="s">
        <v>592</v>
      </c>
      <c r="K16" s="15" t="s">
        <v>650</v>
      </c>
      <c r="L16" s="15" t="s">
        <v>651</v>
      </c>
      <c r="M16" s="15"/>
      <c r="N16" s="15"/>
      <c r="O16" s="15"/>
      <c r="Q16" s="35" t="s">
        <v>276</v>
      </c>
      <c r="R16" s="36" t="s">
        <v>250</v>
      </c>
      <c r="S16" s="39"/>
      <c r="T16" s="15"/>
      <c r="U16" s="36"/>
    </row>
    <row r="17" spans="1:21" x14ac:dyDescent="0.25">
      <c r="A17" s="35" t="s">
        <v>277</v>
      </c>
      <c r="B17" s="15" t="s">
        <v>278</v>
      </c>
      <c r="C17" s="15" t="s">
        <v>279</v>
      </c>
      <c r="D17" s="15" t="s">
        <v>192</v>
      </c>
      <c r="E17" s="15" t="s">
        <v>193</v>
      </c>
      <c r="F17" s="36" t="s">
        <v>649</v>
      </c>
      <c r="G17" s="15"/>
      <c r="H17" s="15" t="str">
        <f t="shared" ref="H17:H22" si="5">"0#" &amp; C17 &amp; "TSY="</f>
        <v>0#FINTSY=</v>
      </c>
      <c r="I17" s="15" t="str">
        <f t="shared" si="4"/>
        <v>EURIRS</v>
      </c>
      <c r="J17" s="15" t="s">
        <v>592</v>
      </c>
      <c r="K17" s="15" t="s">
        <v>650</v>
      </c>
      <c r="L17" s="15" t="s">
        <v>651</v>
      </c>
      <c r="M17" s="77" t="s">
        <v>575</v>
      </c>
      <c r="N17" s="5" t="s">
        <v>576</v>
      </c>
      <c r="O17" s="15"/>
      <c r="Q17" s="35" t="s">
        <v>280</v>
      </c>
      <c r="R17" s="36" t="s">
        <v>250</v>
      </c>
      <c r="S17" s="39"/>
      <c r="T17" s="15"/>
      <c r="U17" s="36"/>
    </row>
    <row r="18" spans="1:21" x14ac:dyDescent="0.25">
      <c r="A18" s="35" t="s">
        <v>281</v>
      </c>
      <c r="B18" s="15" t="s">
        <v>282</v>
      </c>
      <c r="C18" s="15" t="s">
        <v>3</v>
      </c>
      <c r="D18" s="15" t="s">
        <v>192</v>
      </c>
      <c r="E18" s="15" t="s">
        <v>193</v>
      </c>
      <c r="F18" s="36" t="s">
        <v>649</v>
      </c>
      <c r="G18" s="15" t="str">
        <f t="shared" si="0"/>
        <v>0#FRTSYS=</v>
      </c>
      <c r="H18" s="15" t="str">
        <f t="shared" si="5"/>
        <v>0#FRATSY=</v>
      </c>
      <c r="I18" s="15" t="str">
        <f t="shared" si="4"/>
        <v>EURIRS</v>
      </c>
      <c r="J18" s="15" t="s">
        <v>592</v>
      </c>
      <c r="K18" s="15" t="s">
        <v>650</v>
      </c>
      <c r="L18" s="15" t="s">
        <v>651</v>
      </c>
      <c r="M18" s="5" t="s">
        <v>577</v>
      </c>
      <c r="N18" s="5" t="s">
        <v>578</v>
      </c>
      <c r="O18" s="15"/>
      <c r="Q18" s="35" t="s">
        <v>283</v>
      </c>
      <c r="R18" s="36" t="s">
        <v>250</v>
      </c>
      <c r="S18" s="39"/>
      <c r="T18" s="15"/>
      <c r="U18" s="36"/>
    </row>
    <row r="19" spans="1:21" x14ac:dyDescent="0.25">
      <c r="A19" s="35" t="s">
        <v>284</v>
      </c>
      <c r="B19" s="15" t="s">
        <v>285</v>
      </c>
      <c r="C19" s="15" t="s">
        <v>286</v>
      </c>
      <c r="D19" s="15" t="s">
        <v>192</v>
      </c>
      <c r="E19" s="15" t="s">
        <v>193</v>
      </c>
      <c r="F19" s="36" t="s">
        <v>649</v>
      </c>
      <c r="G19" s="15" t="str">
        <f t="shared" si="0"/>
        <v>0#DETSYS=</v>
      </c>
      <c r="H19" s="15" t="str">
        <f t="shared" si="5"/>
        <v>0#DEUTSY=</v>
      </c>
      <c r="I19" s="15" t="str">
        <f>D19&amp;"IRS"</f>
        <v>EURIRS</v>
      </c>
      <c r="J19" s="15" t="s">
        <v>592</v>
      </c>
      <c r="K19" s="15" t="s">
        <v>650</v>
      </c>
      <c r="L19" s="15" t="s">
        <v>651</v>
      </c>
      <c r="M19" s="5" t="s">
        <v>532</v>
      </c>
      <c r="N19" s="5" t="s">
        <v>531</v>
      </c>
      <c r="O19" s="5" t="s">
        <v>530</v>
      </c>
      <c r="Q19" s="35" t="s">
        <v>287</v>
      </c>
      <c r="R19" s="36" t="s">
        <v>250</v>
      </c>
      <c r="S19" s="39"/>
      <c r="T19" s="15"/>
      <c r="U19" s="36"/>
    </row>
    <row r="20" spans="1:21" x14ac:dyDescent="0.25">
      <c r="A20" s="35" t="s">
        <v>288</v>
      </c>
      <c r="B20" s="15" t="s">
        <v>289</v>
      </c>
      <c r="C20" s="15" t="s">
        <v>290</v>
      </c>
      <c r="D20" s="15" t="s">
        <v>192</v>
      </c>
      <c r="E20" s="15" t="s">
        <v>193</v>
      </c>
      <c r="F20" s="36" t="s">
        <v>649</v>
      </c>
      <c r="G20" s="15" t="str">
        <f t="shared" si="0"/>
        <v>0#GRTSYS=</v>
      </c>
      <c r="H20" s="15" t="str">
        <f t="shared" si="5"/>
        <v>0#GRCTSY=</v>
      </c>
      <c r="I20" s="15" t="str">
        <f t="shared" si="4"/>
        <v>EURIRS</v>
      </c>
      <c r="J20" s="15" t="s">
        <v>592</v>
      </c>
      <c r="K20" s="15" t="s">
        <v>650</v>
      </c>
      <c r="L20" s="15" t="s">
        <v>651</v>
      </c>
      <c r="M20" s="15"/>
      <c r="N20" s="15"/>
      <c r="O20" s="15"/>
      <c r="Q20" s="35" t="s">
        <v>291</v>
      </c>
      <c r="R20" s="36" t="s">
        <v>292</v>
      </c>
      <c r="S20" s="39"/>
      <c r="T20" s="15"/>
      <c r="U20" s="36"/>
    </row>
    <row r="21" spans="1:21" x14ac:dyDescent="0.25">
      <c r="A21" s="35" t="s">
        <v>293</v>
      </c>
      <c r="B21" s="15" t="s">
        <v>294</v>
      </c>
      <c r="C21" s="15" t="s">
        <v>295</v>
      </c>
      <c r="D21" s="15" t="s">
        <v>296</v>
      </c>
      <c r="E21" s="15" t="s">
        <v>297</v>
      </c>
      <c r="F21" s="36" t="s">
        <v>665</v>
      </c>
      <c r="G21" s="15" t="str">
        <f t="shared" si="0"/>
        <v>0#HKTSYS=</v>
      </c>
      <c r="H21" s="15" t="str">
        <f t="shared" si="5"/>
        <v>0#HKGTSY=</v>
      </c>
      <c r="I21" s="15" t="str">
        <f t="shared" si="4"/>
        <v>HKDIRS</v>
      </c>
      <c r="J21" s="15" t="s">
        <v>605</v>
      </c>
      <c r="K21" s="15" t="s">
        <v>666</v>
      </c>
      <c r="L21" s="15" t="s">
        <v>667</v>
      </c>
      <c r="M21" s="5" t="s">
        <v>542</v>
      </c>
      <c r="N21" s="5" t="s">
        <v>540</v>
      </c>
      <c r="O21" s="5" t="s">
        <v>541</v>
      </c>
      <c r="Q21" s="35" t="s">
        <v>298</v>
      </c>
      <c r="R21" s="36" t="s">
        <v>250</v>
      </c>
      <c r="S21" s="39"/>
      <c r="T21" s="15"/>
      <c r="U21" s="36"/>
    </row>
    <row r="22" spans="1:21" x14ac:dyDescent="0.25">
      <c r="A22" s="35" t="s">
        <v>299</v>
      </c>
      <c r="B22" s="15" t="s">
        <v>300</v>
      </c>
      <c r="C22" s="15" t="s">
        <v>301</v>
      </c>
      <c r="D22" s="15" t="s">
        <v>302</v>
      </c>
      <c r="E22" s="15" t="s">
        <v>303</v>
      </c>
      <c r="F22" s="36" t="s">
        <v>668</v>
      </c>
      <c r="G22" s="15" t="str">
        <f t="shared" si="0"/>
        <v>0#HUTSYS=</v>
      </c>
      <c r="H22" s="15" t="str">
        <f t="shared" si="5"/>
        <v>0#HUNTSY=</v>
      </c>
      <c r="I22" s="15"/>
      <c r="J22" s="15"/>
      <c r="K22" s="15"/>
      <c r="L22" s="15" t="s">
        <v>669</v>
      </c>
      <c r="M22" s="15"/>
      <c r="N22" s="15"/>
      <c r="O22" s="15"/>
      <c r="Q22" s="35" t="s">
        <v>304</v>
      </c>
      <c r="R22" s="36" t="s">
        <v>250</v>
      </c>
      <c r="S22" s="39"/>
      <c r="T22" s="15"/>
      <c r="U22" s="36"/>
    </row>
    <row r="23" spans="1:21" x14ac:dyDescent="0.25">
      <c r="A23" s="35" t="s">
        <v>305</v>
      </c>
      <c r="B23" s="15" t="s">
        <v>306</v>
      </c>
      <c r="C23" s="15" t="s">
        <v>307</v>
      </c>
      <c r="D23" s="15" t="s">
        <v>308</v>
      </c>
      <c r="E23" s="15" t="s">
        <v>309</v>
      </c>
      <c r="F23" s="36"/>
      <c r="G23" s="15"/>
      <c r="H23" s="15"/>
      <c r="I23" s="15" t="str">
        <f t="shared" ref="I23:I32" si="6">D23&amp;"IRS"</f>
        <v>ISKIRS</v>
      </c>
      <c r="J23" s="15"/>
      <c r="K23" s="15"/>
      <c r="L23" s="15"/>
      <c r="M23" s="15"/>
      <c r="N23" s="15"/>
      <c r="O23" s="15"/>
      <c r="Q23" s="35" t="s">
        <v>310</v>
      </c>
      <c r="R23" s="36" t="s">
        <v>235</v>
      </c>
      <c r="T23" s="35"/>
      <c r="U23" s="36"/>
    </row>
    <row r="24" spans="1:21" x14ac:dyDescent="0.25">
      <c r="A24" s="35" t="s">
        <v>311</v>
      </c>
      <c r="B24" s="15" t="s">
        <v>312</v>
      </c>
      <c r="C24" s="15" t="s">
        <v>313</v>
      </c>
      <c r="D24" s="15" t="s">
        <v>314</v>
      </c>
      <c r="E24" s="15" t="s">
        <v>315</v>
      </c>
      <c r="F24" s="36" t="s">
        <v>670</v>
      </c>
      <c r="G24" s="15"/>
      <c r="H24" s="15" t="str">
        <f>"0#" &amp; C24 &amp; "TSY="</f>
        <v>0#INDTSY=</v>
      </c>
      <c r="I24" s="15" t="str">
        <f t="shared" si="6"/>
        <v>INRIRS</v>
      </c>
      <c r="J24" s="15" t="s">
        <v>604</v>
      </c>
      <c r="K24" s="15" t="s">
        <v>671</v>
      </c>
      <c r="L24" s="15" t="s">
        <v>672</v>
      </c>
      <c r="M24" s="5" t="s">
        <v>551</v>
      </c>
      <c r="N24" s="5" t="s">
        <v>549</v>
      </c>
      <c r="O24" s="5" t="s">
        <v>550</v>
      </c>
      <c r="Q24" s="35" t="s">
        <v>347</v>
      </c>
      <c r="R24" s="36" t="s">
        <v>250</v>
      </c>
      <c r="T24" s="35"/>
      <c r="U24" s="36"/>
    </row>
    <row r="25" spans="1:21" x14ac:dyDescent="0.25">
      <c r="A25" s="35" t="s">
        <v>317</v>
      </c>
      <c r="B25" s="15" t="s">
        <v>318</v>
      </c>
      <c r="C25" s="15" t="s">
        <v>319</v>
      </c>
      <c r="D25" s="15" t="s">
        <v>320</v>
      </c>
      <c r="E25" s="15" t="s">
        <v>321</v>
      </c>
      <c r="F25" s="36"/>
      <c r="G25" s="15" t="str">
        <f t="shared" si="0"/>
        <v>0#IDTSYS=</v>
      </c>
      <c r="H25" s="15" t="str">
        <f>"0#" &amp; C25 &amp; "TSY="</f>
        <v>0#IDNTSY=</v>
      </c>
      <c r="I25" s="15" t="str">
        <f t="shared" si="6"/>
        <v>IDRIRS</v>
      </c>
      <c r="J25" s="15" t="s">
        <v>600</v>
      </c>
      <c r="K25" s="15"/>
      <c r="L25" s="15"/>
      <c r="M25" s="15"/>
      <c r="N25" s="15"/>
      <c r="O25" s="15"/>
      <c r="Q25" s="35" t="s">
        <v>353</v>
      </c>
      <c r="R25" s="36" t="s">
        <v>250</v>
      </c>
      <c r="T25" s="35"/>
      <c r="U25" s="36"/>
    </row>
    <row r="26" spans="1:21" x14ac:dyDescent="0.25">
      <c r="A26" s="37" t="s">
        <v>323</v>
      </c>
      <c r="B26" s="40" t="s">
        <v>324</v>
      </c>
      <c r="C26" s="40" t="s">
        <v>325</v>
      </c>
      <c r="D26" s="40" t="s">
        <v>192</v>
      </c>
      <c r="E26" s="40" t="s">
        <v>193</v>
      </c>
      <c r="F26" s="36" t="s">
        <v>649</v>
      </c>
      <c r="G26" s="15" t="str">
        <f t="shared" si="0"/>
        <v>0#IETSYS=</v>
      </c>
      <c r="H26" s="15" t="str">
        <f>"0#" &amp; C26 &amp; "TSY="</f>
        <v>0#IRLTSY=</v>
      </c>
      <c r="I26" s="15" t="str">
        <f t="shared" si="6"/>
        <v>EURIRS</v>
      </c>
      <c r="J26" s="15" t="s">
        <v>592</v>
      </c>
      <c r="K26" s="15" t="s">
        <v>650</v>
      </c>
      <c r="L26" s="15" t="s">
        <v>651</v>
      </c>
      <c r="M26" s="40"/>
      <c r="N26" s="40"/>
      <c r="O26" s="40"/>
      <c r="Q26" s="35" t="s">
        <v>316</v>
      </c>
      <c r="R26" s="36" t="s">
        <v>250</v>
      </c>
      <c r="T26" s="35"/>
      <c r="U26" s="36"/>
    </row>
    <row r="27" spans="1:21" x14ac:dyDescent="0.25">
      <c r="A27" s="35" t="s">
        <v>327</v>
      </c>
      <c r="B27" s="15" t="s">
        <v>328</v>
      </c>
      <c r="C27" s="15" t="s">
        <v>329</v>
      </c>
      <c r="D27" s="15" t="s">
        <v>330</v>
      </c>
      <c r="E27" s="15" t="s">
        <v>331</v>
      </c>
      <c r="F27" s="36"/>
      <c r="G27" s="15"/>
      <c r="H27" s="15"/>
      <c r="I27" s="15" t="str">
        <f t="shared" si="6"/>
        <v>ILSIRS</v>
      </c>
      <c r="J27" s="15"/>
      <c r="K27" s="15"/>
      <c r="L27" s="15"/>
      <c r="M27" s="5" t="s">
        <v>562</v>
      </c>
      <c r="N27" s="15"/>
      <c r="O27" s="5" t="s">
        <v>561</v>
      </c>
      <c r="Q27" s="35" t="s">
        <v>322</v>
      </c>
      <c r="R27" s="36" t="s">
        <v>250</v>
      </c>
      <c r="T27" s="35"/>
      <c r="U27" s="36"/>
    </row>
    <row r="28" spans="1:21" x14ac:dyDescent="0.25">
      <c r="A28" s="35" t="s">
        <v>333</v>
      </c>
      <c r="B28" s="15" t="s">
        <v>298</v>
      </c>
      <c r="C28" s="15" t="s">
        <v>334</v>
      </c>
      <c r="D28" s="15" t="s">
        <v>192</v>
      </c>
      <c r="E28" s="15" t="s">
        <v>193</v>
      </c>
      <c r="F28" s="36" t="s">
        <v>649</v>
      </c>
      <c r="G28" s="15" t="str">
        <f t="shared" si="0"/>
        <v>0#ITTSYS=</v>
      </c>
      <c r="H28" s="15" t="str">
        <f>"0#" &amp; C28 &amp; "TSY="</f>
        <v>0#ITATSY=</v>
      </c>
      <c r="I28" s="15" t="str">
        <f t="shared" si="6"/>
        <v>EURIRS</v>
      </c>
      <c r="J28" s="15" t="s">
        <v>592</v>
      </c>
      <c r="K28" s="15" t="s">
        <v>650</v>
      </c>
      <c r="L28" s="15" t="s">
        <v>651</v>
      </c>
      <c r="M28" s="40"/>
      <c r="N28" s="40"/>
      <c r="O28" s="40"/>
      <c r="Q28" s="35" t="s">
        <v>357</v>
      </c>
      <c r="R28" s="36" t="s">
        <v>261</v>
      </c>
      <c r="T28" s="35"/>
      <c r="U28" s="36"/>
    </row>
    <row r="29" spans="1:21" x14ac:dyDescent="0.25">
      <c r="A29" s="35" t="s">
        <v>336</v>
      </c>
      <c r="B29" s="15" t="s">
        <v>337</v>
      </c>
      <c r="C29" s="15" t="s">
        <v>338</v>
      </c>
      <c r="D29" s="15" t="s">
        <v>339</v>
      </c>
      <c r="E29" s="15" t="s">
        <v>340</v>
      </c>
      <c r="F29" s="36" t="s">
        <v>673</v>
      </c>
      <c r="G29" s="15" t="str">
        <f>"0#" &amp; B29 &amp; "TSYS="</f>
        <v>0#JPTSYS=</v>
      </c>
      <c r="H29" s="15" t="str">
        <f>"0#" &amp; C29 &amp; "TSY="</f>
        <v>0#JPNTSY=</v>
      </c>
      <c r="I29" s="15" t="str">
        <f t="shared" si="6"/>
        <v>JPYIRS</v>
      </c>
      <c r="J29" s="15" t="s">
        <v>599</v>
      </c>
      <c r="K29" s="15" t="s">
        <v>674</v>
      </c>
      <c r="L29" s="15" t="s">
        <v>675</v>
      </c>
      <c r="M29" s="5" t="s">
        <v>545</v>
      </c>
      <c r="N29" s="5" t="s">
        <v>543</v>
      </c>
      <c r="O29" s="5" t="s">
        <v>544</v>
      </c>
      <c r="Q29" s="35" t="s">
        <v>326</v>
      </c>
      <c r="R29" s="36" t="s">
        <v>250</v>
      </c>
      <c r="T29" s="35"/>
      <c r="U29" s="36"/>
    </row>
    <row r="30" spans="1:21" x14ac:dyDescent="0.25">
      <c r="A30" s="35" t="s">
        <v>342</v>
      </c>
      <c r="B30" s="15" t="s">
        <v>343</v>
      </c>
      <c r="C30" s="15" t="s">
        <v>344</v>
      </c>
      <c r="D30" s="15" t="s">
        <v>345</v>
      </c>
      <c r="E30" s="15" t="s">
        <v>346</v>
      </c>
      <c r="F30" s="36"/>
      <c r="G30" s="15"/>
      <c r="H30" s="15" t="str">
        <f t="shared" ref="H30:H62" si="7">"0#" &amp; C30 &amp; "TSY="</f>
        <v>0#KORTSY=</v>
      </c>
      <c r="I30" s="15" t="str">
        <f t="shared" si="6"/>
        <v>KRWIRS</v>
      </c>
      <c r="J30" s="15" t="s">
        <v>611</v>
      </c>
      <c r="K30" s="15"/>
      <c r="L30" s="15" t="s">
        <v>676</v>
      </c>
      <c r="M30" s="5" t="s">
        <v>548</v>
      </c>
      <c r="N30" s="5" t="s">
        <v>546</v>
      </c>
      <c r="O30" s="5" t="s">
        <v>547</v>
      </c>
      <c r="Q30" s="35" t="s">
        <v>332</v>
      </c>
      <c r="R30" s="36" t="s">
        <v>250</v>
      </c>
      <c r="T30" s="35"/>
      <c r="U30" s="36"/>
    </row>
    <row r="31" spans="1:21" x14ac:dyDescent="0.25">
      <c r="A31" s="35" t="s">
        <v>348</v>
      </c>
      <c r="B31" s="15" t="s">
        <v>349</v>
      </c>
      <c r="C31" s="15" t="s">
        <v>350</v>
      </c>
      <c r="D31" s="15" t="s">
        <v>351</v>
      </c>
      <c r="E31" s="15" t="s">
        <v>352</v>
      </c>
      <c r="F31" s="36"/>
      <c r="G31" s="15"/>
      <c r="H31" s="15"/>
      <c r="I31" s="15" t="str">
        <f t="shared" si="6"/>
        <v>KWDIRS</v>
      </c>
      <c r="J31" s="15"/>
      <c r="K31" s="15"/>
      <c r="L31" s="15"/>
      <c r="M31" s="15"/>
      <c r="N31" s="15"/>
      <c r="O31" s="15"/>
      <c r="Q31" s="35" t="s">
        <v>335</v>
      </c>
      <c r="R31" s="36" t="s">
        <v>235</v>
      </c>
      <c r="T31" s="35"/>
      <c r="U31" s="36"/>
    </row>
    <row r="32" spans="1:21" x14ac:dyDescent="0.25">
      <c r="A32" s="35" t="s">
        <v>354</v>
      </c>
      <c r="B32" s="15" t="s">
        <v>355</v>
      </c>
      <c r="C32" s="15" t="s">
        <v>356</v>
      </c>
      <c r="D32" s="15" t="s">
        <v>192</v>
      </c>
      <c r="E32" s="15" t="s">
        <v>193</v>
      </c>
      <c r="F32" s="36" t="s">
        <v>649</v>
      </c>
      <c r="G32" s="15"/>
      <c r="H32" s="15" t="str">
        <f t="shared" si="7"/>
        <v>0#LVATSY=</v>
      </c>
      <c r="I32" s="15" t="str">
        <f t="shared" si="6"/>
        <v>EURIRS</v>
      </c>
      <c r="J32" s="15" t="s">
        <v>592</v>
      </c>
      <c r="K32" s="15" t="s">
        <v>650</v>
      </c>
      <c r="L32" s="15" t="s">
        <v>651</v>
      </c>
      <c r="M32" s="40"/>
      <c r="N32" s="40"/>
      <c r="O32" s="40"/>
      <c r="Q32" s="35" t="s">
        <v>341</v>
      </c>
      <c r="R32" s="36" t="s">
        <v>250</v>
      </c>
      <c r="T32" s="35"/>
      <c r="U32" s="36"/>
    </row>
    <row r="33" spans="1:21" x14ac:dyDescent="0.25">
      <c r="A33" s="35" t="s">
        <v>358</v>
      </c>
      <c r="B33" s="15" t="s">
        <v>359</v>
      </c>
      <c r="C33" s="15" t="s">
        <v>360</v>
      </c>
      <c r="D33" s="15" t="s">
        <v>361</v>
      </c>
      <c r="E33" s="15" t="s">
        <v>200</v>
      </c>
      <c r="F33" s="36"/>
      <c r="G33" s="15" t="str">
        <f t="shared" ref="G33:G62" si="8">"0#" &amp; B33 &amp; "TSYS="</f>
        <v>0#LBTSYS=</v>
      </c>
      <c r="H33" s="15" t="str">
        <f t="shared" si="7"/>
        <v>0#LBNTSY=</v>
      </c>
      <c r="I33" s="15"/>
      <c r="J33" s="15"/>
      <c r="K33" s="15"/>
      <c r="L33" s="15"/>
      <c r="M33" s="15"/>
      <c r="N33" s="15"/>
      <c r="O33" s="15"/>
      <c r="Q33" s="35"/>
      <c r="R33" s="36"/>
      <c r="T33" s="35"/>
      <c r="U33" s="36"/>
    </row>
    <row r="34" spans="1:21" x14ac:dyDescent="0.25">
      <c r="A34" s="35" t="s">
        <v>362</v>
      </c>
      <c r="B34" s="15" t="s">
        <v>363</v>
      </c>
      <c r="C34" s="15" t="s">
        <v>364</v>
      </c>
      <c r="D34" s="15" t="s">
        <v>365</v>
      </c>
      <c r="E34" s="15" t="s">
        <v>200</v>
      </c>
      <c r="F34" s="36"/>
      <c r="G34" s="15"/>
      <c r="H34" s="15" t="str">
        <f t="shared" si="7"/>
        <v>0#LTUTSY=</v>
      </c>
      <c r="I34" s="15"/>
      <c r="J34" s="15"/>
      <c r="K34" s="15"/>
      <c r="L34" s="15"/>
      <c r="M34" s="15"/>
      <c r="N34" s="15"/>
      <c r="O34" s="15"/>
      <c r="Q34" s="35"/>
      <c r="R34" s="36"/>
      <c r="T34" s="35"/>
      <c r="U34" s="36"/>
    </row>
    <row r="35" spans="1:21" x14ac:dyDescent="0.25">
      <c r="A35" s="37" t="s">
        <v>366</v>
      </c>
      <c r="B35" s="40" t="s">
        <v>367</v>
      </c>
      <c r="C35" s="40" t="s">
        <v>368</v>
      </c>
      <c r="D35" s="40" t="s">
        <v>192</v>
      </c>
      <c r="E35" s="40" t="s">
        <v>193</v>
      </c>
      <c r="F35" s="36" t="s">
        <v>649</v>
      </c>
      <c r="G35" s="15"/>
      <c r="H35" s="15"/>
      <c r="I35" s="15" t="str">
        <f>D35&amp;"IRS"</f>
        <v>EURIRS</v>
      </c>
      <c r="J35" s="15" t="s">
        <v>592</v>
      </c>
      <c r="K35" s="15" t="s">
        <v>650</v>
      </c>
      <c r="L35" s="15" t="s">
        <v>651</v>
      </c>
      <c r="M35" s="40"/>
      <c r="N35" s="40"/>
      <c r="O35" s="40"/>
      <c r="Q35" s="35"/>
      <c r="R35" s="36"/>
      <c r="T35" s="35"/>
      <c r="U35" s="36"/>
    </row>
    <row r="36" spans="1:21" x14ac:dyDescent="0.25">
      <c r="A36" s="35" t="s">
        <v>369</v>
      </c>
      <c r="B36" s="15" t="s">
        <v>370</v>
      </c>
      <c r="C36" s="15" t="s">
        <v>371</v>
      </c>
      <c r="D36" s="15" t="s">
        <v>372</v>
      </c>
      <c r="E36" s="15" t="s">
        <v>373</v>
      </c>
      <c r="F36" s="36" t="s">
        <v>677</v>
      </c>
      <c r="G36" s="15" t="str">
        <f t="shared" si="8"/>
        <v>0#MYTSYS=</v>
      </c>
      <c r="H36" s="15" t="str">
        <f t="shared" si="7"/>
        <v>0#MYSTSY=</v>
      </c>
      <c r="I36" s="15" t="str">
        <f>D36&amp;"IRS"</f>
        <v>MYRIRS</v>
      </c>
      <c r="J36" s="15"/>
      <c r="K36" s="15" t="s">
        <v>678</v>
      </c>
      <c r="L36" s="15" t="s">
        <v>679</v>
      </c>
      <c r="M36" s="15"/>
      <c r="N36" s="15"/>
      <c r="O36" s="15"/>
      <c r="Q36" s="35"/>
      <c r="R36" s="36"/>
      <c r="T36" s="35"/>
      <c r="U36" s="36"/>
    </row>
    <row r="37" spans="1:21" x14ac:dyDescent="0.25">
      <c r="A37" s="35" t="s">
        <v>374</v>
      </c>
      <c r="B37" s="15" t="s">
        <v>375</v>
      </c>
      <c r="C37" s="15" t="s">
        <v>376</v>
      </c>
      <c r="D37" s="15" t="s">
        <v>377</v>
      </c>
      <c r="E37" s="15" t="s">
        <v>378</v>
      </c>
      <c r="F37" s="36"/>
      <c r="G37" s="15"/>
      <c r="H37" s="15" t="str">
        <f t="shared" si="7"/>
        <v>0#MEXTSY=</v>
      </c>
      <c r="I37" s="15"/>
      <c r="J37" s="15"/>
      <c r="K37" s="15"/>
      <c r="L37" s="15"/>
      <c r="M37" s="15"/>
      <c r="N37" s="15"/>
      <c r="O37" s="15"/>
      <c r="Q37" s="35"/>
      <c r="R37" s="36"/>
      <c r="T37" s="35"/>
      <c r="U37" s="36"/>
    </row>
    <row r="38" spans="1:21" x14ac:dyDescent="0.25">
      <c r="A38" s="35" t="s">
        <v>379</v>
      </c>
      <c r="B38" s="15" t="s">
        <v>380</v>
      </c>
      <c r="C38" s="15" t="s">
        <v>381</v>
      </c>
      <c r="D38" s="15" t="s">
        <v>192</v>
      </c>
      <c r="E38" s="15" t="s">
        <v>193</v>
      </c>
      <c r="F38" s="36" t="s">
        <v>649</v>
      </c>
      <c r="G38" s="15" t="str">
        <f t="shared" si="8"/>
        <v>0#NLTSYS=</v>
      </c>
      <c r="H38" s="15" t="str">
        <f t="shared" si="7"/>
        <v>0#NLDTSY=</v>
      </c>
      <c r="I38" s="15" t="str">
        <f>D38&amp;"IRS"</f>
        <v>EURIRS</v>
      </c>
      <c r="J38" s="15"/>
      <c r="K38" s="15"/>
      <c r="L38" s="15"/>
      <c r="M38" s="5" t="s">
        <v>557</v>
      </c>
      <c r="N38" s="5" t="s">
        <v>555</v>
      </c>
      <c r="O38" s="5" t="s">
        <v>556</v>
      </c>
      <c r="Q38" s="35"/>
      <c r="R38" s="36"/>
      <c r="T38" s="35"/>
      <c r="U38" s="36"/>
    </row>
    <row r="39" spans="1:21" x14ac:dyDescent="0.25">
      <c r="A39" s="35" t="s">
        <v>382</v>
      </c>
      <c r="B39" s="15" t="s">
        <v>383</v>
      </c>
      <c r="C39" s="15" t="s">
        <v>384</v>
      </c>
      <c r="D39" s="15" t="s">
        <v>385</v>
      </c>
      <c r="E39" s="15" t="s">
        <v>386</v>
      </c>
      <c r="F39" s="36" t="s">
        <v>680</v>
      </c>
      <c r="G39" s="15"/>
      <c r="H39" s="15" t="str">
        <f t="shared" si="7"/>
        <v>0#NZLTSY=</v>
      </c>
      <c r="I39" s="15" t="str">
        <f>D39&amp;"IRS"</f>
        <v>NZDIRS</v>
      </c>
      <c r="J39" s="15" t="s">
        <v>632</v>
      </c>
      <c r="K39" s="15" t="s">
        <v>681</v>
      </c>
      <c r="L39" s="15"/>
      <c r="M39" s="15"/>
      <c r="N39" s="15"/>
      <c r="O39" s="15"/>
      <c r="Q39" s="35"/>
      <c r="R39" s="36"/>
      <c r="T39" s="35"/>
      <c r="U39" s="36"/>
    </row>
    <row r="40" spans="1:21" x14ac:dyDescent="0.25">
      <c r="A40" s="35" t="s">
        <v>387</v>
      </c>
      <c r="B40" s="15" t="s">
        <v>388</v>
      </c>
      <c r="C40" s="15" t="s">
        <v>389</v>
      </c>
      <c r="D40" s="15" t="s">
        <v>390</v>
      </c>
      <c r="E40" s="15" t="s">
        <v>588</v>
      </c>
      <c r="F40" s="36"/>
      <c r="G40" s="15" t="str">
        <f t="shared" si="8"/>
        <v>0#NOTSYS=</v>
      </c>
      <c r="H40" s="15" t="str">
        <f t="shared" si="7"/>
        <v>0#NORTSY=</v>
      </c>
      <c r="I40" s="15" t="str">
        <f>D40&amp;"IRS"</f>
        <v>NOKIRS</v>
      </c>
      <c r="J40" s="15" t="s">
        <v>593</v>
      </c>
      <c r="K40" s="15"/>
      <c r="L40" s="15"/>
      <c r="M40" s="76" t="s">
        <v>579</v>
      </c>
      <c r="N40" s="76" t="s">
        <v>580</v>
      </c>
      <c r="O40" s="15"/>
      <c r="Q40" s="35"/>
      <c r="R40" s="36"/>
      <c r="T40" s="35"/>
      <c r="U40" s="36"/>
    </row>
    <row r="41" spans="1:21" x14ac:dyDescent="0.25">
      <c r="A41" s="35" t="s">
        <v>391</v>
      </c>
      <c r="B41" s="15" t="s">
        <v>392</v>
      </c>
      <c r="C41" s="15" t="s">
        <v>393</v>
      </c>
      <c r="D41" s="15" t="s">
        <v>394</v>
      </c>
      <c r="E41" s="15" t="s">
        <v>395</v>
      </c>
      <c r="F41" s="36"/>
      <c r="G41" s="15"/>
      <c r="H41" s="15" t="str">
        <f t="shared" si="7"/>
        <v>0#PAKTSY=</v>
      </c>
      <c r="I41" s="15" t="str">
        <f>D41&amp;"IRS"</f>
        <v>PKRIRS</v>
      </c>
      <c r="J41" s="15"/>
      <c r="K41" s="15"/>
      <c r="L41" s="15"/>
      <c r="M41" s="15"/>
      <c r="N41" s="15"/>
      <c r="O41" s="15"/>
      <c r="Q41" s="35"/>
      <c r="R41" s="36"/>
      <c r="T41" s="35"/>
      <c r="U41" s="36"/>
    </row>
    <row r="42" spans="1:21" x14ac:dyDescent="0.25">
      <c r="A42" s="35" t="s">
        <v>396</v>
      </c>
      <c r="B42" s="15" t="s">
        <v>397</v>
      </c>
      <c r="C42" s="15" t="s">
        <v>398</v>
      </c>
      <c r="D42" s="15" t="s">
        <v>399</v>
      </c>
      <c r="E42" s="15" t="s">
        <v>200</v>
      </c>
      <c r="F42" s="36"/>
      <c r="G42" s="15"/>
      <c r="H42" s="15" t="str">
        <f t="shared" si="7"/>
        <v>0#PERTSY=</v>
      </c>
      <c r="I42" s="15"/>
      <c r="J42" s="15"/>
      <c r="K42" s="15" t="s">
        <v>682</v>
      </c>
      <c r="L42" s="15"/>
      <c r="M42" s="15"/>
      <c r="N42" s="15"/>
      <c r="O42" s="15"/>
      <c r="Q42" s="35"/>
      <c r="R42" s="36"/>
      <c r="T42" s="35"/>
      <c r="U42" s="36"/>
    </row>
    <row r="43" spans="1:21" x14ac:dyDescent="0.25">
      <c r="A43" s="37" t="s">
        <v>400</v>
      </c>
      <c r="B43" s="40" t="s">
        <v>401</v>
      </c>
      <c r="C43" s="40" t="s">
        <v>402</v>
      </c>
      <c r="D43" s="40" t="s">
        <v>403</v>
      </c>
      <c r="E43" s="40" t="s">
        <v>404</v>
      </c>
      <c r="F43" s="38"/>
      <c r="G43" s="15" t="str">
        <f t="shared" si="8"/>
        <v>0#PHTSYS=</v>
      </c>
      <c r="H43" s="15" t="str">
        <f t="shared" si="7"/>
        <v>0#PHLTSY=</v>
      </c>
      <c r="I43" s="15" t="str">
        <f t="shared" ref="I43:I48" si="9">D43&amp;"IRS"</f>
        <v>PHPIRS</v>
      </c>
      <c r="J43" s="15"/>
      <c r="K43" s="15"/>
      <c r="L43" s="15"/>
      <c r="M43" s="40"/>
      <c r="N43" s="40"/>
      <c r="O43" s="40"/>
      <c r="Q43" s="35"/>
      <c r="R43" s="36"/>
      <c r="T43" s="35"/>
      <c r="U43" s="36"/>
    </row>
    <row r="44" spans="1:21" x14ac:dyDescent="0.25">
      <c r="A44" s="35" t="s">
        <v>405</v>
      </c>
      <c r="B44" s="15" t="s">
        <v>406</v>
      </c>
      <c r="C44" s="15" t="s">
        <v>407</v>
      </c>
      <c r="D44" s="15" t="s">
        <v>408</v>
      </c>
      <c r="E44" s="15" t="s">
        <v>409</v>
      </c>
      <c r="F44" s="36" t="s">
        <v>683</v>
      </c>
      <c r="G44" s="15"/>
      <c r="H44" s="15" t="str">
        <f t="shared" si="7"/>
        <v>0#POLTSY=</v>
      </c>
      <c r="I44" s="15" t="str">
        <f t="shared" si="9"/>
        <v>PLNIRS</v>
      </c>
      <c r="J44" s="15"/>
      <c r="K44" s="15" t="s">
        <v>684</v>
      </c>
      <c r="L44" s="15" t="s">
        <v>685</v>
      </c>
      <c r="M44" s="5" t="s">
        <v>582</v>
      </c>
      <c r="N44" s="5" t="s">
        <v>583</v>
      </c>
      <c r="O44" s="5" t="s">
        <v>584</v>
      </c>
      <c r="Q44" s="35"/>
      <c r="R44" s="36"/>
      <c r="T44" s="35"/>
      <c r="U44" s="36"/>
    </row>
    <row r="45" spans="1:21" x14ac:dyDescent="0.25">
      <c r="A45" s="35" t="s">
        <v>410</v>
      </c>
      <c r="B45" s="15" t="s">
        <v>411</v>
      </c>
      <c r="C45" s="15" t="s">
        <v>412</v>
      </c>
      <c r="D45" s="15" t="s">
        <v>192</v>
      </c>
      <c r="E45" s="15" t="s">
        <v>193</v>
      </c>
      <c r="F45" s="36" t="s">
        <v>649</v>
      </c>
      <c r="G45" s="15" t="str">
        <f t="shared" si="8"/>
        <v>0#PTTSYS=</v>
      </c>
      <c r="H45" s="15" t="str">
        <f t="shared" si="7"/>
        <v>0#PRTTSY=</v>
      </c>
      <c r="I45" s="15" t="str">
        <f t="shared" si="9"/>
        <v>EURIRS</v>
      </c>
      <c r="J45" s="15" t="s">
        <v>592</v>
      </c>
      <c r="K45" s="15" t="s">
        <v>650</v>
      </c>
      <c r="L45" s="15" t="s">
        <v>651</v>
      </c>
      <c r="M45" s="40"/>
      <c r="N45" s="40"/>
      <c r="O45" s="40"/>
      <c r="Q45" s="35"/>
      <c r="R45" s="36"/>
      <c r="T45" s="35"/>
      <c r="U45" s="36"/>
    </row>
    <row r="46" spans="1:21" x14ac:dyDescent="0.25">
      <c r="A46" s="35" t="s">
        <v>413</v>
      </c>
      <c r="B46" s="15" t="s">
        <v>414</v>
      </c>
      <c r="C46" s="15" t="s">
        <v>415</v>
      </c>
      <c r="D46" s="15" t="s">
        <v>416</v>
      </c>
      <c r="E46" s="15" t="s">
        <v>596</v>
      </c>
      <c r="F46" s="36"/>
      <c r="G46" s="15"/>
      <c r="H46" s="15" t="str">
        <f t="shared" si="7"/>
        <v>0#ROMTSY=</v>
      </c>
      <c r="I46" s="15" t="str">
        <f t="shared" si="9"/>
        <v>RONIRS</v>
      </c>
      <c r="J46" s="15" t="s">
        <v>603</v>
      </c>
      <c r="K46" s="15"/>
      <c r="L46" s="15"/>
      <c r="M46" s="15"/>
      <c r="N46" s="15"/>
      <c r="O46" s="15"/>
      <c r="Q46" s="35"/>
      <c r="R46" s="36"/>
      <c r="T46" s="35"/>
      <c r="U46" s="36"/>
    </row>
    <row r="47" spans="1:21" x14ac:dyDescent="0.25">
      <c r="A47" s="35" t="s">
        <v>417</v>
      </c>
      <c r="B47" s="15" t="s">
        <v>418</v>
      </c>
      <c r="C47" s="15" t="s">
        <v>419</v>
      </c>
      <c r="D47" s="15" t="s">
        <v>420</v>
      </c>
      <c r="E47" s="15" t="s">
        <v>421</v>
      </c>
      <c r="F47" s="36"/>
      <c r="G47" s="15"/>
      <c r="H47" s="15" t="str">
        <f t="shared" si="7"/>
        <v>0#RUSTSY=</v>
      </c>
      <c r="I47" s="15" t="str">
        <f t="shared" si="9"/>
        <v>RUBIRS</v>
      </c>
      <c r="J47" s="15" t="s">
        <v>610</v>
      </c>
      <c r="K47" s="15" t="s">
        <v>686</v>
      </c>
      <c r="L47" s="15" t="s">
        <v>687</v>
      </c>
      <c r="M47" s="15"/>
      <c r="N47" s="15"/>
      <c r="O47" s="15"/>
      <c r="Q47" s="35"/>
      <c r="R47" s="36"/>
      <c r="T47" s="35"/>
      <c r="U47" s="36"/>
    </row>
    <row r="48" spans="1:21" x14ac:dyDescent="0.25">
      <c r="A48" s="35" t="s">
        <v>422</v>
      </c>
      <c r="B48" s="15" t="s">
        <v>423</v>
      </c>
      <c r="C48" s="15" t="s">
        <v>424</v>
      </c>
      <c r="D48" s="15" t="s">
        <v>425</v>
      </c>
      <c r="E48" s="15" t="s">
        <v>426</v>
      </c>
      <c r="F48" s="36"/>
      <c r="G48" s="15" t="str">
        <f t="shared" si="8"/>
        <v>0#SATSYS=</v>
      </c>
      <c r="H48" s="15" t="str">
        <f t="shared" si="7"/>
        <v>0#SAUTSY=</v>
      </c>
      <c r="I48" s="15" t="str">
        <f t="shared" si="9"/>
        <v>SARIRS</v>
      </c>
      <c r="J48" s="15" t="s">
        <v>609</v>
      </c>
      <c r="K48" s="15"/>
      <c r="L48" s="15"/>
      <c r="M48" s="15"/>
      <c r="N48" s="15"/>
      <c r="O48" s="15"/>
      <c r="Q48" s="35"/>
      <c r="R48" s="36"/>
      <c r="T48" s="35"/>
      <c r="U48" s="36"/>
    </row>
    <row r="49" spans="1:21" x14ac:dyDescent="0.25">
      <c r="A49" s="35" t="s">
        <v>427</v>
      </c>
      <c r="B49" s="15" t="s">
        <v>428</v>
      </c>
      <c r="C49" s="15" t="s">
        <v>429</v>
      </c>
      <c r="D49" s="15" t="s">
        <v>430</v>
      </c>
      <c r="E49" s="15" t="s">
        <v>200</v>
      </c>
      <c r="F49" s="36"/>
      <c r="G49" s="15" t="str">
        <f t="shared" si="8"/>
        <v>0#RSTSYS=</v>
      </c>
      <c r="H49" s="15" t="str">
        <f t="shared" si="7"/>
        <v>0#SRBTSY=</v>
      </c>
      <c r="I49" s="15"/>
      <c r="J49" s="15"/>
      <c r="K49" s="15"/>
      <c r="L49" s="15"/>
      <c r="M49" s="15"/>
      <c r="N49" s="15"/>
      <c r="O49" s="15"/>
      <c r="Q49" s="35"/>
      <c r="R49" s="36"/>
      <c r="T49" s="35"/>
      <c r="U49" s="36"/>
    </row>
    <row r="50" spans="1:21" x14ac:dyDescent="0.25">
      <c r="A50" s="35" t="s">
        <v>431</v>
      </c>
      <c r="B50" s="15" t="s">
        <v>432</v>
      </c>
      <c r="C50" s="15" t="s">
        <v>433</v>
      </c>
      <c r="D50" s="15" t="s">
        <v>434</v>
      </c>
      <c r="E50" s="15" t="s">
        <v>435</v>
      </c>
      <c r="F50" s="36" t="s">
        <v>688</v>
      </c>
      <c r="G50" s="15" t="str">
        <f t="shared" si="8"/>
        <v>0#SGTSYS=</v>
      </c>
      <c r="H50" s="15" t="str">
        <f t="shared" si="7"/>
        <v>0#SGPTSY=</v>
      </c>
      <c r="I50" s="15" t="str">
        <f>D50&amp;"IRS"</f>
        <v>SGDIRS</v>
      </c>
      <c r="J50" s="15"/>
      <c r="K50" s="15" t="s">
        <v>689</v>
      </c>
      <c r="L50" s="15" t="s">
        <v>690</v>
      </c>
      <c r="M50" s="15"/>
      <c r="N50" s="15"/>
      <c r="O50" s="15"/>
      <c r="Q50" s="35"/>
      <c r="R50" s="36"/>
      <c r="T50" s="35"/>
      <c r="U50" s="36"/>
    </row>
    <row r="51" spans="1:21" x14ac:dyDescent="0.25">
      <c r="A51" s="35" t="s">
        <v>436</v>
      </c>
      <c r="B51" s="15" t="s">
        <v>437</v>
      </c>
      <c r="C51" s="15" t="s">
        <v>438</v>
      </c>
      <c r="D51" s="15" t="s">
        <v>439</v>
      </c>
      <c r="E51" s="15" t="s">
        <v>440</v>
      </c>
      <c r="F51" s="36"/>
      <c r="G51" s="15" t="str">
        <f t="shared" si="8"/>
        <v>0#ZATSYS=</v>
      </c>
      <c r="H51" s="15" t="str">
        <f t="shared" si="7"/>
        <v>0#ZAFTSY=</v>
      </c>
      <c r="I51" s="15" t="str">
        <f>D51&amp;"IRS"</f>
        <v>ZARIRS</v>
      </c>
      <c r="J51" s="15"/>
      <c r="K51" s="15"/>
      <c r="L51" s="15"/>
      <c r="M51" s="15"/>
      <c r="N51" s="15"/>
      <c r="O51" s="15"/>
      <c r="Q51" s="35"/>
      <c r="R51" s="36"/>
      <c r="T51" s="35"/>
      <c r="U51" s="36"/>
    </row>
    <row r="52" spans="1:21" x14ac:dyDescent="0.25">
      <c r="A52" s="35" t="s">
        <v>441</v>
      </c>
      <c r="B52" s="15" t="s">
        <v>442</v>
      </c>
      <c r="C52" s="15" t="s">
        <v>443</v>
      </c>
      <c r="D52" s="15" t="s">
        <v>192</v>
      </c>
      <c r="E52" s="15" t="s">
        <v>193</v>
      </c>
      <c r="F52" s="36" t="s">
        <v>649</v>
      </c>
      <c r="G52" s="15" t="str">
        <f t="shared" si="8"/>
        <v>0#ESTSYS=</v>
      </c>
      <c r="H52" s="15" t="str">
        <f t="shared" si="7"/>
        <v>0#ESPTSY=</v>
      </c>
      <c r="I52" s="15" t="str">
        <f>D52&amp;"IRS"</f>
        <v>EURIRS</v>
      </c>
      <c r="J52" s="15" t="s">
        <v>592</v>
      </c>
      <c r="K52" s="15" t="s">
        <v>650</v>
      </c>
      <c r="L52" s="15" t="s">
        <v>651</v>
      </c>
      <c r="M52" s="5" t="s">
        <v>568</v>
      </c>
      <c r="N52" s="5" t="s">
        <v>566</v>
      </c>
      <c r="O52" s="5" t="s">
        <v>567</v>
      </c>
      <c r="Q52" s="35"/>
      <c r="R52" s="36"/>
      <c r="T52" s="35"/>
      <c r="U52" s="36"/>
    </row>
    <row r="53" spans="1:21" x14ac:dyDescent="0.25">
      <c r="A53" s="35" t="s">
        <v>444</v>
      </c>
      <c r="B53" s="15" t="s">
        <v>445</v>
      </c>
      <c r="C53" s="15" t="s">
        <v>446</v>
      </c>
      <c r="D53" s="15" t="s">
        <v>447</v>
      </c>
      <c r="E53" s="15" t="s">
        <v>200</v>
      </c>
      <c r="F53" s="36"/>
      <c r="G53" s="15"/>
      <c r="H53" s="15" t="str">
        <f t="shared" si="7"/>
        <v>0#LKATSY=</v>
      </c>
      <c r="I53" s="15"/>
      <c r="J53" s="15"/>
      <c r="K53" s="15"/>
      <c r="L53" s="15"/>
      <c r="M53" s="15"/>
      <c r="N53" s="15"/>
      <c r="O53" s="15"/>
      <c r="Q53" s="35"/>
      <c r="R53" s="36"/>
      <c r="T53" s="35"/>
      <c r="U53" s="36"/>
    </row>
    <row r="54" spans="1:21" x14ac:dyDescent="0.25">
      <c r="A54" s="35" t="s">
        <v>448</v>
      </c>
      <c r="B54" s="15" t="s">
        <v>449</v>
      </c>
      <c r="C54" s="15" t="s">
        <v>450</v>
      </c>
      <c r="D54" s="15" t="s">
        <v>451</v>
      </c>
      <c r="E54" s="15" t="s">
        <v>452</v>
      </c>
      <c r="F54" s="36" t="s">
        <v>691</v>
      </c>
      <c r="G54" s="15" t="str">
        <f t="shared" si="8"/>
        <v>0#SETSYS=</v>
      </c>
      <c r="H54" s="15" t="str">
        <f t="shared" si="7"/>
        <v>0#SWETSY=</v>
      </c>
      <c r="I54" s="15" t="str">
        <f>D54&amp;"IRS"</f>
        <v>SEKIRS</v>
      </c>
      <c r="J54" s="15" t="s">
        <v>590</v>
      </c>
      <c r="K54" s="15" t="s">
        <v>692</v>
      </c>
      <c r="L54" s="15" t="s">
        <v>693</v>
      </c>
      <c r="M54" s="5" t="s">
        <v>13</v>
      </c>
      <c r="N54" s="5" t="s">
        <v>56</v>
      </c>
      <c r="O54" s="5" t="s">
        <v>536</v>
      </c>
      <c r="Q54" s="35"/>
      <c r="R54" s="36"/>
      <c r="T54" s="35"/>
      <c r="U54" s="36"/>
    </row>
    <row r="55" spans="1:21" x14ac:dyDescent="0.25">
      <c r="A55" s="35" t="s">
        <v>453</v>
      </c>
      <c r="B55" s="15" t="s">
        <v>454</v>
      </c>
      <c r="C55" s="15" t="s">
        <v>455</v>
      </c>
      <c r="D55" s="15" t="s">
        <v>456</v>
      </c>
      <c r="E55" s="15" t="s">
        <v>457</v>
      </c>
      <c r="F55" s="36" t="s">
        <v>694</v>
      </c>
      <c r="G55" s="15"/>
      <c r="H55" s="15" t="str">
        <f t="shared" si="7"/>
        <v>0#CHETSY=</v>
      </c>
      <c r="I55" s="15" t="str">
        <f>D55&amp;"IRS"</f>
        <v>CHFIRS</v>
      </c>
      <c r="J55" s="15" t="s">
        <v>601</v>
      </c>
      <c r="K55" s="15" t="s">
        <v>695</v>
      </c>
      <c r="L55" s="15" t="s">
        <v>696</v>
      </c>
      <c r="M55" s="5" t="s">
        <v>535</v>
      </c>
      <c r="N55" s="5" t="s">
        <v>533</v>
      </c>
      <c r="O55" s="5" t="s">
        <v>534</v>
      </c>
      <c r="Q55" s="35"/>
      <c r="R55" s="36"/>
      <c r="T55" s="35"/>
      <c r="U55" s="36"/>
    </row>
    <row r="56" spans="1:21" x14ac:dyDescent="0.25">
      <c r="A56" s="35" t="s">
        <v>458</v>
      </c>
      <c r="B56" s="15" t="s">
        <v>459</v>
      </c>
      <c r="C56" s="15" t="s">
        <v>460</v>
      </c>
      <c r="D56" s="15" t="s">
        <v>461</v>
      </c>
      <c r="E56" s="15" t="s">
        <v>462</v>
      </c>
      <c r="F56" s="36"/>
      <c r="G56" s="15"/>
      <c r="H56" s="15" t="str">
        <f t="shared" si="7"/>
        <v>0#TWNTSY=</v>
      </c>
      <c r="I56" s="15" t="str">
        <f>D56&amp;"IRS"</f>
        <v>TWDIRS</v>
      </c>
      <c r="J56" s="15" t="s">
        <v>602</v>
      </c>
      <c r="K56" s="15"/>
      <c r="L56" s="15"/>
      <c r="M56" s="15"/>
      <c r="N56" s="15"/>
      <c r="O56" s="15"/>
      <c r="Q56" s="35"/>
      <c r="R56" s="36"/>
      <c r="T56" s="35"/>
      <c r="U56" s="36"/>
    </row>
    <row r="57" spans="1:21" x14ac:dyDescent="0.25">
      <c r="A57" s="35" t="s">
        <v>463</v>
      </c>
      <c r="B57" s="15" t="s">
        <v>464</v>
      </c>
      <c r="C57" s="15" t="s">
        <v>465</v>
      </c>
      <c r="D57" s="15" t="s">
        <v>466</v>
      </c>
      <c r="E57" s="15" t="s">
        <v>467</v>
      </c>
      <c r="F57" s="36"/>
      <c r="G57" s="15"/>
      <c r="H57" s="15" t="str">
        <f t="shared" si="7"/>
        <v>0#THATSY=</v>
      </c>
      <c r="I57" s="15" t="str">
        <f>D57&amp;"IRS"</f>
        <v>THBIRS</v>
      </c>
      <c r="J57" s="15" t="s">
        <v>606</v>
      </c>
      <c r="K57" s="15"/>
      <c r="L57" s="15"/>
      <c r="M57" s="5" t="s">
        <v>554</v>
      </c>
      <c r="N57" s="5" t="s">
        <v>552</v>
      </c>
      <c r="O57" s="5" t="s">
        <v>553</v>
      </c>
      <c r="Q57" s="35"/>
      <c r="R57" s="36"/>
      <c r="T57" s="35"/>
      <c r="U57" s="36"/>
    </row>
    <row r="58" spans="1:21" x14ac:dyDescent="0.25">
      <c r="A58" s="35" t="s">
        <v>468</v>
      </c>
      <c r="B58" s="15" t="s">
        <v>469</v>
      </c>
      <c r="C58" s="15" t="s">
        <v>470</v>
      </c>
      <c r="D58" s="15" t="s">
        <v>471</v>
      </c>
      <c r="E58" s="15" t="s">
        <v>472</v>
      </c>
      <c r="F58" s="36" t="s">
        <v>697</v>
      </c>
      <c r="G58" s="15"/>
      <c r="H58" s="15"/>
      <c r="I58" s="15" t="str">
        <f>D58&amp;"IRS"</f>
        <v>TRYIRS</v>
      </c>
      <c r="J58" s="15"/>
      <c r="K58" s="15"/>
      <c r="L58" s="15"/>
      <c r="M58" s="15"/>
      <c r="N58" s="15"/>
      <c r="O58" s="15"/>
      <c r="Q58" s="35"/>
      <c r="R58" s="36"/>
      <c r="T58" s="35"/>
      <c r="U58" s="36"/>
    </row>
    <row r="59" spans="1:21" x14ac:dyDescent="0.25">
      <c r="A59" s="35" t="s">
        <v>473</v>
      </c>
      <c r="B59" s="15" t="s">
        <v>474</v>
      </c>
      <c r="C59" s="15" t="s">
        <v>475</v>
      </c>
      <c r="D59" s="15" t="s">
        <v>476</v>
      </c>
      <c r="E59" s="15" t="s">
        <v>200</v>
      </c>
      <c r="F59" s="36"/>
      <c r="G59" s="15"/>
      <c r="H59" s="15" t="str">
        <f t="shared" si="7"/>
        <v>0#UKRTSY=</v>
      </c>
      <c r="I59" s="15"/>
      <c r="J59" s="15"/>
      <c r="K59" s="15"/>
      <c r="L59" s="15"/>
      <c r="M59" s="15"/>
      <c r="N59" s="15"/>
      <c r="O59" s="15"/>
      <c r="Q59" s="35"/>
      <c r="R59" s="36"/>
      <c r="T59" s="35"/>
      <c r="U59" s="36"/>
    </row>
    <row r="60" spans="1:21" x14ac:dyDescent="0.25">
      <c r="A60" s="35" t="s">
        <v>477</v>
      </c>
      <c r="B60" s="15" t="s">
        <v>478</v>
      </c>
      <c r="C60" s="15" t="s">
        <v>479</v>
      </c>
      <c r="D60" s="15" t="s">
        <v>480</v>
      </c>
      <c r="E60" s="15" t="s">
        <v>481</v>
      </c>
      <c r="F60" s="36"/>
      <c r="G60" s="15"/>
      <c r="H60" s="15"/>
      <c r="I60" s="15" t="str">
        <f>D60&amp;"IRS"</f>
        <v>AEDIRS</v>
      </c>
      <c r="J60" s="15"/>
      <c r="K60" s="15"/>
      <c r="L60" s="15"/>
      <c r="M60" s="15"/>
      <c r="N60" s="15"/>
      <c r="O60" s="15"/>
      <c r="Q60" s="35"/>
      <c r="R60" s="36"/>
      <c r="T60" s="35"/>
      <c r="U60" s="36"/>
    </row>
    <row r="61" spans="1:21" x14ac:dyDescent="0.25">
      <c r="A61" s="35" t="s">
        <v>482</v>
      </c>
      <c r="B61" s="15" t="s">
        <v>483</v>
      </c>
      <c r="C61" s="15" t="s">
        <v>484</v>
      </c>
      <c r="D61" s="15" t="s">
        <v>485</v>
      </c>
      <c r="E61" s="15" t="s">
        <v>486</v>
      </c>
      <c r="F61" s="36" t="s">
        <v>698</v>
      </c>
      <c r="G61" s="15" t="s">
        <v>512</v>
      </c>
      <c r="H61" s="15" t="str">
        <f t="shared" si="7"/>
        <v>0#GBRTSY=</v>
      </c>
      <c r="I61" s="15" t="str">
        <f>D61&amp;"IRS"</f>
        <v>GBPIRS</v>
      </c>
      <c r="J61" s="15" t="s">
        <v>591</v>
      </c>
      <c r="K61" s="15" t="s">
        <v>699</v>
      </c>
      <c r="L61" s="15" t="s">
        <v>700</v>
      </c>
      <c r="M61" s="5" t="s">
        <v>560</v>
      </c>
      <c r="N61" s="5" t="s">
        <v>558</v>
      </c>
      <c r="O61" s="5" t="s">
        <v>559</v>
      </c>
      <c r="Q61" s="35"/>
      <c r="R61" s="36"/>
      <c r="T61" s="35"/>
      <c r="U61" s="36"/>
    </row>
    <row r="62" spans="1:21" x14ac:dyDescent="0.25">
      <c r="A62" s="35" t="s">
        <v>487</v>
      </c>
      <c r="B62" s="15" t="s">
        <v>488</v>
      </c>
      <c r="C62" s="15" t="s">
        <v>489</v>
      </c>
      <c r="D62" s="15" t="s">
        <v>490</v>
      </c>
      <c r="E62" s="15" t="s">
        <v>491</v>
      </c>
      <c r="F62" s="36" t="s">
        <v>701</v>
      </c>
      <c r="G62" s="15" t="str">
        <f t="shared" si="8"/>
        <v>0#USTSYS=</v>
      </c>
      <c r="H62" s="15" t="str">
        <f t="shared" si="7"/>
        <v>0#USATSY=</v>
      </c>
      <c r="I62" s="15" t="str">
        <f>D62&amp;"IRS"</f>
        <v>USDIRS</v>
      </c>
      <c r="J62" s="15" t="s">
        <v>594</v>
      </c>
      <c r="K62" s="15" t="s">
        <v>702</v>
      </c>
      <c r="L62" s="15" t="s">
        <v>703</v>
      </c>
      <c r="M62" s="5" t="s">
        <v>571</v>
      </c>
      <c r="N62" s="5" t="s">
        <v>569</v>
      </c>
      <c r="O62" s="5" t="s">
        <v>570</v>
      </c>
      <c r="Q62" s="35"/>
      <c r="R62" s="36"/>
      <c r="T62" s="35"/>
      <c r="U62" s="36"/>
    </row>
    <row r="63" spans="1:21" x14ac:dyDescent="0.25">
      <c r="A63" s="35" t="s">
        <v>492</v>
      </c>
      <c r="B63" s="15" t="s">
        <v>493</v>
      </c>
      <c r="C63" s="15" t="s">
        <v>494</v>
      </c>
      <c r="D63" s="15" t="s">
        <v>495</v>
      </c>
      <c r="E63" s="15" t="s">
        <v>496</v>
      </c>
      <c r="F63" s="36"/>
      <c r="G63" s="15"/>
      <c r="H63" s="15"/>
      <c r="I63" s="15" t="str">
        <f>D63&amp;"IRS"</f>
        <v>VNDIRS</v>
      </c>
      <c r="J63" s="15"/>
      <c r="K63" s="15"/>
      <c r="L63" s="15"/>
      <c r="M63" s="15"/>
      <c r="N63" s="15"/>
      <c r="O63" s="15"/>
      <c r="Q63" s="35"/>
      <c r="R63" s="36"/>
      <c r="T63" s="35"/>
      <c r="U63" s="36"/>
    </row>
    <row r="64" spans="1:21" x14ac:dyDescent="0.25">
      <c r="A64" s="35"/>
      <c r="B64" s="15"/>
      <c r="C64" s="15"/>
      <c r="D64" s="15"/>
      <c r="E64" s="36"/>
      <c r="F64" s="15"/>
      <c r="G64" s="15"/>
      <c r="H64" s="15"/>
      <c r="I64" s="15"/>
      <c r="J64" s="15"/>
      <c r="K64" s="15"/>
      <c r="L64" s="15"/>
      <c r="M64" s="15"/>
      <c r="N64" s="15"/>
      <c r="O64" s="15"/>
      <c r="Q64" s="35"/>
      <c r="R64" s="36"/>
      <c r="T64" s="35"/>
      <c r="U64" s="36"/>
    </row>
    <row r="65" spans="1:21" x14ac:dyDescent="0.25">
      <c r="A65" s="35"/>
      <c r="B65" s="15"/>
      <c r="C65" s="15"/>
      <c r="D65" s="15"/>
      <c r="E65" s="36"/>
      <c r="F65" s="15"/>
      <c r="G65" s="15"/>
      <c r="H65" s="15"/>
      <c r="I65" s="15"/>
      <c r="J65" s="15"/>
      <c r="K65" s="15"/>
      <c r="L65" s="15"/>
      <c r="M65" s="15"/>
      <c r="N65" s="15"/>
      <c r="O65" s="15"/>
      <c r="Q65" s="35"/>
      <c r="R65" s="36"/>
      <c r="T65" s="35"/>
      <c r="U65" s="36"/>
    </row>
    <row r="66" spans="1:21" x14ac:dyDescent="0.25">
      <c r="A66" s="35"/>
      <c r="B66" s="15"/>
      <c r="C66" s="15"/>
      <c r="D66" s="15"/>
      <c r="E66" s="36"/>
      <c r="F66" s="15"/>
      <c r="G66" s="15"/>
      <c r="H66" s="15"/>
      <c r="I66" s="15"/>
      <c r="J66" s="15"/>
      <c r="K66" s="15"/>
      <c r="L66" s="15"/>
      <c r="M66" s="15"/>
      <c r="N66" s="15"/>
      <c r="O66" s="15"/>
      <c r="Q66" s="35"/>
      <c r="R66" s="36"/>
      <c r="T66" s="35"/>
      <c r="U66" s="36"/>
    </row>
    <row r="67" spans="1:21" x14ac:dyDescent="0.25">
      <c r="A67" s="35"/>
      <c r="B67" s="15"/>
      <c r="C67" s="15"/>
      <c r="D67" s="15"/>
      <c r="E67" s="36"/>
      <c r="F67" s="15"/>
      <c r="G67" s="15"/>
      <c r="H67" s="15"/>
      <c r="I67" s="15"/>
      <c r="J67" s="15"/>
      <c r="K67" s="15"/>
      <c r="L67" s="15"/>
      <c r="M67" s="15"/>
      <c r="N67" s="15"/>
      <c r="O67" s="15"/>
      <c r="Q67" s="35"/>
      <c r="R67" s="36"/>
      <c r="T67" s="35"/>
      <c r="U67" s="36"/>
    </row>
    <row r="68" spans="1:21" x14ac:dyDescent="0.25">
      <c r="A68" s="35"/>
      <c r="B68" s="15"/>
      <c r="C68" s="15"/>
      <c r="D68" s="15"/>
      <c r="E68" s="36"/>
      <c r="F68" s="15"/>
      <c r="G68" s="15"/>
      <c r="H68" s="15"/>
      <c r="I68" s="15"/>
      <c r="J68" s="15"/>
      <c r="K68" s="15"/>
      <c r="L68" s="15"/>
      <c r="M68" s="15"/>
      <c r="N68" s="15"/>
      <c r="O68" s="15"/>
      <c r="Q68" s="35"/>
      <c r="R68" s="36"/>
      <c r="T68" s="35"/>
      <c r="U68" s="36"/>
    </row>
    <row r="69" spans="1:21" x14ac:dyDescent="0.25">
      <c r="A69" s="35"/>
      <c r="B69" s="15"/>
      <c r="C69" s="15"/>
      <c r="D69" s="15"/>
      <c r="E69" s="36"/>
      <c r="F69" s="15"/>
      <c r="G69" s="15"/>
      <c r="H69" s="15"/>
      <c r="I69" s="15"/>
      <c r="J69" s="15"/>
      <c r="K69" s="15"/>
      <c r="L69" s="15"/>
      <c r="M69" s="15"/>
      <c r="N69" s="15"/>
      <c r="O69" s="15"/>
      <c r="Q69" s="35"/>
      <c r="R69" s="36"/>
      <c r="T69" s="35"/>
      <c r="U69" s="36"/>
    </row>
    <row r="70" spans="1:21" x14ac:dyDescent="0.25">
      <c r="A70" s="35"/>
      <c r="B70" s="15"/>
      <c r="C70" s="15"/>
      <c r="D70" s="15"/>
      <c r="E70" s="36"/>
      <c r="F70" s="15"/>
      <c r="G70" s="15"/>
      <c r="H70" s="15"/>
      <c r="I70" s="15"/>
      <c r="J70" s="15"/>
      <c r="K70" s="15"/>
      <c r="L70" s="15"/>
      <c r="M70" s="15"/>
      <c r="N70" s="15"/>
      <c r="O70" s="15"/>
      <c r="Q70" s="35"/>
      <c r="R70" s="36"/>
      <c r="T70" s="35"/>
      <c r="U70" s="36"/>
    </row>
    <row r="71" spans="1:21" x14ac:dyDescent="0.25">
      <c r="A71" s="35"/>
      <c r="B71" s="15"/>
      <c r="C71" s="15"/>
      <c r="D71" s="15"/>
      <c r="E71" s="36"/>
      <c r="F71" s="15"/>
      <c r="G71" s="15"/>
      <c r="H71" s="15"/>
      <c r="I71" s="15"/>
      <c r="J71" s="15"/>
      <c r="K71" s="15"/>
      <c r="L71" s="15"/>
      <c r="M71" s="15"/>
      <c r="N71" s="15"/>
      <c r="O71" s="15"/>
      <c r="Q71" s="35"/>
      <c r="R71" s="36"/>
      <c r="T71" s="35"/>
      <c r="U71" s="36"/>
    </row>
    <row r="72" spans="1:21" x14ac:dyDescent="0.25">
      <c r="A72" s="35"/>
      <c r="B72" s="15"/>
      <c r="C72" s="15"/>
      <c r="D72" s="15"/>
      <c r="E72" s="36"/>
      <c r="F72" s="15"/>
      <c r="G72" s="15"/>
      <c r="H72" s="15"/>
      <c r="I72" s="15"/>
      <c r="J72" s="15"/>
      <c r="K72" s="15"/>
      <c r="L72" s="15"/>
      <c r="M72" s="15"/>
      <c r="N72" s="15"/>
      <c r="O72" s="15"/>
      <c r="Q72" s="35"/>
      <c r="R72" s="36"/>
      <c r="T72" s="35"/>
      <c r="U72" s="36"/>
    </row>
    <row r="73" spans="1:21" x14ac:dyDescent="0.25">
      <c r="A73" s="35"/>
      <c r="B73" s="15"/>
      <c r="C73" s="15"/>
      <c r="D73" s="15"/>
      <c r="E73" s="36"/>
      <c r="F73" s="15"/>
      <c r="G73" s="15"/>
      <c r="H73" s="15"/>
      <c r="I73" s="15"/>
      <c r="J73" s="15"/>
      <c r="K73" s="15"/>
      <c r="L73" s="15"/>
      <c r="M73" s="15"/>
      <c r="N73" s="15"/>
      <c r="O73" s="15"/>
      <c r="Q73" s="35"/>
      <c r="R73" s="36"/>
      <c r="T73" s="35"/>
      <c r="U73" s="36"/>
    </row>
    <row r="74" spans="1:21" x14ac:dyDescent="0.25">
      <c r="A74" s="35"/>
      <c r="B74" s="15"/>
      <c r="C74" s="15"/>
      <c r="D74" s="15"/>
      <c r="E74" s="36"/>
      <c r="F74" s="15"/>
      <c r="G74" s="15"/>
      <c r="H74" s="15"/>
      <c r="I74" s="15"/>
      <c r="J74" s="15"/>
      <c r="K74" s="15"/>
      <c r="L74" s="15"/>
      <c r="M74" s="15"/>
      <c r="N74" s="15"/>
      <c r="O74" s="15"/>
      <c r="Q74" s="35"/>
      <c r="R74" s="36"/>
      <c r="T74" s="35"/>
      <c r="U74" s="36"/>
    </row>
    <row r="75" spans="1:21" x14ac:dyDescent="0.25">
      <c r="A75" s="35"/>
      <c r="B75" s="15"/>
      <c r="C75" s="15"/>
      <c r="D75" s="15"/>
      <c r="E75" s="36"/>
      <c r="F75" s="15"/>
      <c r="G75" s="15"/>
      <c r="H75" s="15"/>
      <c r="I75" s="15"/>
      <c r="J75" s="15"/>
      <c r="K75" s="15"/>
      <c r="L75" s="15"/>
      <c r="M75" s="15"/>
      <c r="N75" s="15"/>
      <c r="O75" s="15"/>
      <c r="Q75" s="35"/>
      <c r="R75" s="36"/>
      <c r="T75" s="35"/>
      <c r="U75" s="36"/>
    </row>
    <row r="76" spans="1:21" x14ac:dyDescent="0.25">
      <c r="A76" s="35"/>
      <c r="B76" s="15"/>
      <c r="C76" s="15"/>
      <c r="D76" s="15"/>
      <c r="E76" s="36"/>
      <c r="F76" s="15"/>
      <c r="G76" s="15"/>
      <c r="H76" s="15"/>
      <c r="I76" s="15"/>
      <c r="J76" s="15"/>
      <c r="K76" s="15"/>
      <c r="L76" s="15"/>
      <c r="M76" s="15"/>
      <c r="N76" s="15"/>
      <c r="O76" s="15"/>
      <c r="Q76" s="35"/>
      <c r="R76" s="36"/>
      <c r="T76" s="35"/>
      <c r="U76" s="36"/>
    </row>
    <row r="77" spans="1:21" x14ac:dyDescent="0.25">
      <c r="A77" s="35"/>
      <c r="B77" s="15"/>
      <c r="C77" s="15"/>
      <c r="D77" s="15"/>
      <c r="E77" s="36"/>
      <c r="F77" s="15"/>
      <c r="G77" s="15"/>
      <c r="H77" s="15"/>
      <c r="I77" s="15"/>
      <c r="J77" s="15"/>
      <c r="K77" s="15"/>
      <c r="L77" s="15"/>
      <c r="M77" s="15"/>
      <c r="N77" s="15"/>
      <c r="O77" s="15"/>
      <c r="Q77" s="35"/>
      <c r="R77" s="36"/>
      <c r="T77" s="35"/>
      <c r="U77" s="36"/>
    </row>
    <row r="78" spans="1:21" x14ac:dyDescent="0.25">
      <c r="A78" s="35"/>
      <c r="B78" s="15"/>
      <c r="C78" s="15"/>
      <c r="D78" s="15"/>
      <c r="E78" s="36"/>
      <c r="F78" s="15"/>
      <c r="G78" s="15"/>
      <c r="H78" s="15"/>
      <c r="I78" s="15"/>
      <c r="J78" s="15"/>
      <c r="K78" s="15"/>
      <c r="L78" s="15"/>
      <c r="M78" s="15"/>
      <c r="N78" s="15"/>
      <c r="O78" s="15"/>
      <c r="Q78" s="35"/>
      <c r="R78" s="36"/>
      <c r="T78" s="35"/>
      <c r="U78" s="36"/>
    </row>
    <row r="79" spans="1:21" x14ac:dyDescent="0.25">
      <c r="A79" s="35"/>
      <c r="B79" s="15"/>
      <c r="C79" s="15"/>
      <c r="D79" s="15"/>
      <c r="E79" s="36"/>
      <c r="F79" s="15"/>
      <c r="G79" s="15"/>
      <c r="H79" s="15"/>
      <c r="I79" s="15"/>
      <c r="J79" s="15"/>
      <c r="K79" s="15"/>
      <c r="L79" s="15"/>
      <c r="M79" s="15"/>
      <c r="N79" s="15"/>
      <c r="O79" s="15"/>
      <c r="Q79" s="35"/>
      <c r="R79" s="36"/>
      <c r="T79" s="35"/>
      <c r="U79" s="36"/>
    </row>
    <row r="80" spans="1:21" x14ac:dyDescent="0.25">
      <c r="A80" s="35"/>
      <c r="B80" s="15"/>
      <c r="C80" s="15"/>
      <c r="D80" s="15"/>
      <c r="E80" s="36"/>
      <c r="F80" s="15"/>
      <c r="G80" s="15"/>
      <c r="H80" s="15"/>
      <c r="I80" s="15"/>
      <c r="J80" s="15"/>
      <c r="K80" s="15"/>
      <c r="L80" s="15"/>
      <c r="M80" s="15"/>
      <c r="N80" s="15"/>
      <c r="O80" s="15"/>
      <c r="Q80" s="35"/>
      <c r="R80" s="36"/>
      <c r="T80" s="35"/>
      <c r="U80" s="36"/>
    </row>
    <row r="81" spans="1:21" x14ac:dyDescent="0.25">
      <c r="A81" s="35"/>
      <c r="B81" s="15"/>
      <c r="C81" s="15"/>
      <c r="D81" s="15"/>
      <c r="E81" s="36"/>
      <c r="F81" s="15"/>
      <c r="G81" s="15"/>
      <c r="H81" s="15"/>
      <c r="I81" s="15"/>
      <c r="J81" s="15"/>
      <c r="K81" s="15"/>
      <c r="L81" s="15"/>
      <c r="M81" s="15"/>
      <c r="N81" s="15"/>
      <c r="O81" s="15"/>
      <c r="Q81" s="35"/>
      <c r="R81" s="36"/>
      <c r="T81" s="35"/>
      <c r="U81" s="36"/>
    </row>
    <row r="82" spans="1:21" x14ac:dyDescent="0.25">
      <c r="A82" s="35"/>
      <c r="B82" s="15"/>
      <c r="C82" s="15"/>
      <c r="D82" s="15"/>
      <c r="E82" s="36"/>
      <c r="F82" s="15"/>
      <c r="G82" s="15"/>
      <c r="H82" s="15"/>
      <c r="I82" s="15"/>
      <c r="J82" s="15"/>
      <c r="K82" s="15"/>
      <c r="L82" s="15"/>
      <c r="M82" s="15"/>
      <c r="N82" s="15"/>
      <c r="O82" s="15"/>
      <c r="Q82" s="35"/>
      <c r="R82" s="36"/>
      <c r="T82" s="35"/>
      <c r="U82" s="36"/>
    </row>
    <row r="83" spans="1:21" x14ac:dyDescent="0.25">
      <c r="A83" s="35"/>
      <c r="B83" s="15"/>
      <c r="C83" s="15"/>
      <c r="D83" s="15"/>
      <c r="E83" s="36"/>
      <c r="F83" s="15"/>
      <c r="G83" s="15"/>
      <c r="H83" s="15"/>
      <c r="I83" s="15"/>
      <c r="J83" s="15"/>
      <c r="K83" s="15"/>
      <c r="L83" s="15"/>
      <c r="M83" s="15"/>
      <c r="N83" s="15"/>
      <c r="O83" s="15"/>
      <c r="Q83" s="35"/>
      <c r="R83" s="36"/>
      <c r="T83" s="35"/>
      <c r="U83" s="36"/>
    </row>
    <row r="84" spans="1:21" x14ac:dyDescent="0.25">
      <c r="A84" s="35"/>
      <c r="B84" s="15"/>
      <c r="C84" s="15"/>
      <c r="D84" s="15"/>
      <c r="E84" s="36"/>
      <c r="F84" s="15"/>
      <c r="G84" s="15"/>
      <c r="H84" s="15"/>
      <c r="I84" s="15"/>
      <c r="J84" s="15"/>
      <c r="K84" s="15"/>
      <c r="L84" s="15"/>
      <c r="M84" s="15"/>
      <c r="N84" s="15"/>
      <c r="O84" s="15"/>
      <c r="Q84" s="35"/>
      <c r="R84" s="36"/>
      <c r="T84" s="35"/>
      <c r="U84" s="36"/>
    </row>
    <row r="85" spans="1:21" x14ac:dyDescent="0.25">
      <c r="A85" s="35"/>
      <c r="B85" s="15"/>
      <c r="C85" s="15"/>
      <c r="D85" s="15"/>
      <c r="E85" s="36"/>
      <c r="F85" s="15"/>
      <c r="G85" s="15"/>
      <c r="H85" s="15"/>
      <c r="I85" s="15"/>
      <c r="J85" s="15"/>
      <c r="K85" s="15"/>
      <c r="L85" s="15"/>
      <c r="M85" s="15"/>
      <c r="N85" s="15"/>
      <c r="O85" s="15"/>
      <c r="Q85" s="35"/>
      <c r="R85" s="36"/>
      <c r="T85" s="35"/>
      <c r="U85" s="36"/>
    </row>
    <row r="86" spans="1:21" x14ac:dyDescent="0.25">
      <c r="A86" s="35"/>
      <c r="B86" s="15"/>
      <c r="C86" s="15"/>
      <c r="D86" s="15"/>
      <c r="E86" s="36"/>
      <c r="F86" s="15"/>
      <c r="G86" s="15"/>
      <c r="H86" s="15"/>
      <c r="I86" s="15"/>
      <c r="J86" s="15"/>
      <c r="K86" s="15"/>
      <c r="L86" s="15"/>
      <c r="M86" s="15"/>
      <c r="N86" s="15"/>
      <c r="O86" s="15"/>
      <c r="Q86" s="35"/>
      <c r="R86" s="36"/>
      <c r="T86" s="35"/>
      <c r="U86" s="36"/>
    </row>
    <row r="87" spans="1:21" x14ac:dyDescent="0.25">
      <c r="A87" s="35"/>
      <c r="B87" s="15"/>
      <c r="C87" s="15"/>
      <c r="D87" s="15"/>
      <c r="E87" s="36"/>
      <c r="F87" s="15"/>
      <c r="G87" s="15"/>
      <c r="H87" s="15"/>
      <c r="I87" s="15"/>
      <c r="J87" s="15"/>
      <c r="K87" s="15"/>
      <c r="L87" s="15"/>
      <c r="M87" s="15"/>
      <c r="N87" s="15"/>
      <c r="O87" s="15"/>
      <c r="Q87" s="35"/>
      <c r="R87" s="36"/>
      <c r="T87" s="35"/>
      <c r="U87" s="36"/>
    </row>
    <row r="88" spans="1:21" x14ac:dyDescent="0.25">
      <c r="A88" s="35"/>
      <c r="B88" s="15"/>
      <c r="C88" s="15"/>
      <c r="D88" s="15"/>
      <c r="E88" s="36"/>
      <c r="F88" s="15"/>
      <c r="G88" s="15"/>
      <c r="H88" s="15"/>
      <c r="I88" s="15"/>
      <c r="J88" s="15"/>
      <c r="K88" s="15"/>
      <c r="L88" s="15"/>
      <c r="M88" s="15"/>
      <c r="N88" s="15"/>
      <c r="O88" s="15"/>
      <c r="Q88" s="35"/>
      <c r="R88" s="36"/>
      <c r="T88" s="35"/>
      <c r="U88" s="36"/>
    </row>
    <row r="89" spans="1:21" x14ac:dyDescent="0.25">
      <c r="A89" s="35"/>
      <c r="B89" s="15"/>
      <c r="C89" s="15"/>
      <c r="D89" s="15"/>
      <c r="E89" s="36"/>
      <c r="F89" s="15"/>
      <c r="G89" s="15"/>
      <c r="H89" s="15"/>
      <c r="I89" s="15"/>
      <c r="J89" s="15"/>
      <c r="K89" s="15"/>
      <c r="L89" s="15"/>
      <c r="M89" s="15"/>
      <c r="N89" s="15"/>
      <c r="O89" s="15"/>
      <c r="Q89" s="35"/>
      <c r="R89" s="36"/>
      <c r="T89" s="35"/>
      <c r="U89" s="36"/>
    </row>
    <row r="90" spans="1:21" x14ac:dyDescent="0.25">
      <c r="A90" s="35"/>
      <c r="B90" s="15"/>
      <c r="C90" s="15"/>
      <c r="D90" s="15"/>
      <c r="E90" s="36"/>
      <c r="F90" s="15"/>
      <c r="G90" s="15"/>
      <c r="H90" s="15"/>
      <c r="I90" s="15"/>
      <c r="J90" s="15"/>
      <c r="K90" s="15"/>
      <c r="L90" s="15"/>
      <c r="M90" s="15"/>
      <c r="N90" s="15"/>
      <c r="O90" s="15"/>
      <c r="Q90" s="35"/>
      <c r="R90" s="36"/>
      <c r="T90" s="35"/>
      <c r="U90" s="36"/>
    </row>
    <row r="91" spans="1:21" x14ac:dyDescent="0.25">
      <c r="A91" s="35"/>
      <c r="B91" s="15"/>
      <c r="C91" s="15"/>
      <c r="D91" s="15"/>
      <c r="E91" s="36"/>
      <c r="F91" s="15"/>
      <c r="G91" s="15"/>
      <c r="H91" s="15"/>
      <c r="I91" s="15"/>
      <c r="J91" s="15"/>
      <c r="K91" s="15"/>
      <c r="L91" s="15"/>
      <c r="M91" s="15"/>
      <c r="N91" s="15"/>
      <c r="O91" s="15"/>
      <c r="Q91" s="35"/>
      <c r="R91" s="36"/>
      <c r="T91" s="35"/>
      <c r="U91" s="36"/>
    </row>
    <row r="92" spans="1:21" x14ac:dyDescent="0.25">
      <c r="A92" s="35"/>
      <c r="B92" s="15"/>
      <c r="C92" s="15"/>
      <c r="D92" s="15"/>
      <c r="E92" s="36"/>
      <c r="F92" s="15"/>
      <c r="G92" s="15"/>
      <c r="H92" s="15"/>
      <c r="I92" s="15"/>
      <c r="J92" s="15"/>
      <c r="K92" s="15"/>
      <c r="L92" s="15"/>
      <c r="M92" s="15"/>
      <c r="N92" s="15"/>
      <c r="O92" s="15"/>
      <c r="Q92" s="35"/>
      <c r="R92" s="36"/>
      <c r="T92" s="35"/>
      <c r="U92" s="36"/>
    </row>
    <row r="93" spans="1:21" x14ac:dyDescent="0.25">
      <c r="A93" s="35"/>
      <c r="B93" s="15"/>
      <c r="C93" s="15"/>
      <c r="D93" s="15"/>
      <c r="E93" s="36"/>
      <c r="F93" s="15"/>
      <c r="G93" s="15"/>
      <c r="H93" s="15"/>
      <c r="I93" s="15"/>
      <c r="J93" s="15"/>
      <c r="K93" s="15"/>
      <c r="L93" s="15"/>
      <c r="M93" s="15"/>
      <c r="N93" s="15"/>
      <c r="O93" s="15"/>
      <c r="Q93" s="35"/>
      <c r="R93" s="36"/>
      <c r="T93" s="35"/>
      <c r="U93" s="36"/>
    </row>
    <row r="94" spans="1:21" x14ac:dyDescent="0.25">
      <c r="A94" s="35"/>
      <c r="B94" s="15"/>
      <c r="C94" s="15"/>
      <c r="D94" s="15"/>
      <c r="E94" s="36"/>
      <c r="F94" s="15"/>
      <c r="G94" s="15"/>
      <c r="H94" s="15"/>
      <c r="I94" s="15"/>
      <c r="J94" s="15"/>
      <c r="K94" s="15"/>
      <c r="L94" s="15"/>
      <c r="M94" s="15"/>
      <c r="N94" s="15"/>
      <c r="O94" s="15"/>
      <c r="Q94" s="35"/>
      <c r="R94" s="36"/>
      <c r="T94" s="35"/>
      <c r="U94" s="36"/>
    </row>
    <row r="95" spans="1:21" x14ac:dyDescent="0.25">
      <c r="A95" s="35"/>
      <c r="B95" s="15"/>
      <c r="C95" s="15"/>
      <c r="D95" s="15"/>
      <c r="E95" s="36"/>
      <c r="F95" s="15"/>
      <c r="G95" s="15"/>
      <c r="H95" s="15"/>
      <c r="I95" s="15"/>
      <c r="J95" s="15"/>
      <c r="K95" s="15"/>
      <c r="L95" s="15"/>
      <c r="M95" s="15"/>
      <c r="N95" s="15"/>
      <c r="O95" s="15"/>
      <c r="Q95" s="35"/>
      <c r="R95" s="36"/>
      <c r="T95" s="35"/>
      <c r="U95" s="36"/>
    </row>
    <row r="96" spans="1:21" x14ac:dyDescent="0.25">
      <c r="A96" s="35"/>
      <c r="B96" s="15"/>
      <c r="C96" s="15"/>
      <c r="D96" s="15"/>
      <c r="E96" s="36"/>
      <c r="F96" s="15"/>
      <c r="G96" s="15"/>
      <c r="H96" s="15"/>
      <c r="I96" s="15"/>
      <c r="J96" s="15"/>
      <c r="K96" s="15"/>
      <c r="L96" s="15"/>
      <c r="M96" s="15"/>
      <c r="N96" s="15"/>
      <c r="O96" s="15"/>
      <c r="Q96" s="35"/>
      <c r="R96" s="36"/>
      <c r="T96" s="35"/>
      <c r="U96" s="36"/>
    </row>
    <row r="97" spans="1:21" x14ac:dyDescent="0.25">
      <c r="A97" s="35"/>
      <c r="B97" s="15"/>
      <c r="C97" s="15"/>
      <c r="D97" s="15"/>
      <c r="E97" s="36"/>
      <c r="F97" s="15"/>
      <c r="G97" s="15"/>
      <c r="H97" s="15"/>
      <c r="I97" s="15"/>
      <c r="J97" s="15"/>
      <c r="K97" s="15"/>
      <c r="L97" s="15"/>
      <c r="M97" s="15"/>
      <c r="N97" s="15"/>
      <c r="O97" s="15"/>
      <c r="Q97" s="35"/>
      <c r="R97" s="36"/>
      <c r="T97" s="35"/>
      <c r="U97" s="36"/>
    </row>
    <row r="98" spans="1:21" ht="15.75" thickBot="1" x14ac:dyDescent="0.3">
      <c r="A98" s="41"/>
      <c r="B98" s="42"/>
      <c r="C98" s="42"/>
      <c r="D98" s="42"/>
      <c r="E98" s="43"/>
      <c r="F98" s="15"/>
      <c r="G98" s="15"/>
      <c r="H98" s="15"/>
      <c r="I98" s="15"/>
      <c r="J98" s="15"/>
      <c r="K98" s="15"/>
      <c r="L98" s="15"/>
      <c r="M98" s="15"/>
      <c r="N98" s="15"/>
      <c r="O98" s="15"/>
      <c r="Q98" s="41"/>
      <c r="R98" s="43"/>
      <c r="T98" s="41"/>
      <c r="U98" s="43"/>
    </row>
    <row r="99" spans="1:21" x14ac:dyDescent="0.25">
      <c r="A99" s="14"/>
      <c r="B99" s="14"/>
      <c r="C99" s="14"/>
      <c r="D99" s="14"/>
      <c r="E99" s="14"/>
      <c r="F99" s="98"/>
      <c r="G99" s="14"/>
      <c r="H99" s="14"/>
      <c r="I99" s="14"/>
      <c r="J99" s="14"/>
      <c r="K99" s="98"/>
      <c r="L99" s="98"/>
      <c r="M99" s="14"/>
      <c r="N99" s="14"/>
      <c r="O99" s="14"/>
    </row>
    <row r="100" spans="1:21" x14ac:dyDescent="0.25">
      <c r="A100" s="14"/>
      <c r="B100" s="14"/>
      <c r="C100" s="14"/>
      <c r="D100" s="14"/>
      <c r="E100" s="14"/>
      <c r="F100" s="98"/>
      <c r="G100" s="14"/>
      <c r="H100" s="14"/>
      <c r="I100" s="14"/>
      <c r="J100" s="14"/>
      <c r="K100" s="98"/>
      <c r="L100" s="98"/>
      <c r="M100" s="14"/>
      <c r="N100" s="14"/>
      <c r="O100" s="14"/>
    </row>
    <row r="101" spans="1:21" x14ac:dyDescent="0.25">
      <c r="C101" s="14"/>
      <c r="D101" s="14"/>
      <c r="E101" s="14"/>
      <c r="F101" s="98"/>
      <c r="G101" s="14"/>
      <c r="H101" s="14"/>
      <c r="I101" s="14"/>
      <c r="J101" s="14"/>
      <c r="K101" s="98"/>
      <c r="L101" s="98"/>
      <c r="M101" s="14"/>
      <c r="N101" s="14"/>
      <c r="O101" s="14"/>
    </row>
    <row r="102" spans="1:21" x14ac:dyDescent="0.25">
      <c r="C102" s="14"/>
      <c r="D102" s="14"/>
      <c r="E102" s="14"/>
      <c r="F102" s="98"/>
      <c r="G102" s="14"/>
      <c r="H102" s="14"/>
      <c r="I102" s="14"/>
      <c r="J102" s="14"/>
      <c r="K102" s="98"/>
      <c r="L102" s="98"/>
      <c r="M102" s="14"/>
      <c r="N102" s="14"/>
      <c r="O102" s="14"/>
    </row>
    <row r="103" spans="1:21" x14ac:dyDescent="0.25">
      <c r="C103" s="14"/>
      <c r="D103" s="14"/>
      <c r="E103" s="14"/>
      <c r="F103" s="98"/>
      <c r="G103" s="14"/>
      <c r="H103" s="14"/>
      <c r="I103" s="14"/>
      <c r="J103" s="14"/>
      <c r="K103" s="98"/>
      <c r="L103" s="98"/>
      <c r="M103" s="14"/>
      <c r="N103" s="14"/>
      <c r="O103" s="14"/>
    </row>
    <row r="104" spans="1:21" x14ac:dyDescent="0.25">
      <c r="C104" s="14"/>
      <c r="D104" s="14"/>
      <c r="E104" s="14"/>
      <c r="F104" s="98"/>
      <c r="G104" s="14"/>
      <c r="H104" s="14"/>
      <c r="I104" s="14"/>
      <c r="J104" s="14"/>
      <c r="K104" s="98"/>
      <c r="L104" s="98"/>
      <c r="M104" s="14"/>
      <c r="N104" s="14"/>
      <c r="O104" s="14"/>
    </row>
    <row r="105" spans="1:21" x14ac:dyDescent="0.25">
      <c r="C105" s="14"/>
      <c r="D105" s="14"/>
      <c r="E105" s="14"/>
      <c r="F105" s="98"/>
      <c r="G105" s="14"/>
      <c r="H105" s="14"/>
      <c r="I105" s="14"/>
      <c r="J105" s="14"/>
      <c r="K105" s="98"/>
      <c r="L105" s="98"/>
      <c r="M105" s="14"/>
      <c r="N105" s="14"/>
      <c r="O105" s="14"/>
    </row>
    <row r="106" spans="1:21" x14ac:dyDescent="0.25">
      <c r="C106" s="14"/>
      <c r="D106" s="14"/>
      <c r="E106" s="14"/>
      <c r="F106" s="98"/>
      <c r="G106" s="14"/>
      <c r="H106" s="14"/>
      <c r="I106" s="14"/>
      <c r="J106" s="14"/>
      <c r="K106" s="98"/>
      <c r="L106" s="98"/>
      <c r="M106" s="14"/>
      <c r="N106" s="14"/>
      <c r="O106" s="14"/>
    </row>
    <row r="107" spans="1:21" x14ac:dyDescent="0.25">
      <c r="C107" s="14"/>
      <c r="D107" s="14"/>
      <c r="E107" s="14"/>
      <c r="F107" s="98"/>
      <c r="G107" s="14"/>
      <c r="H107" s="14"/>
      <c r="I107" s="14"/>
      <c r="J107" s="14"/>
      <c r="K107" s="98"/>
      <c r="L107" s="98"/>
      <c r="M107" s="14"/>
      <c r="N107" s="14"/>
      <c r="O107" s="14"/>
    </row>
    <row r="108" spans="1:21" x14ac:dyDescent="0.25">
      <c r="C108" s="14"/>
      <c r="D108" s="14"/>
      <c r="E108" s="14"/>
      <c r="F108" s="98"/>
      <c r="G108" s="14"/>
      <c r="H108" s="14"/>
      <c r="I108" s="14"/>
      <c r="J108" s="14"/>
      <c r="K108" s="98"/>
      <c r="L108" s="98"/>
      <c r="M108" s="14"/>
      <c r="N108" s="14"/>
      <c r="O108" s="14"/>
    </row>
    <row r="109" spans="1:21" x14ac:dyDescent="0.25">
      <c r="C109" s="14"/>
      <c r="D109" s="14"/>
      <c r="E109" s="14"/>
      <c r="F109" s="98"/>
      <c r="G109" s="14"/>
      <c r="H109" s="14"/>
      <c r="I109" s="14"/>
      <c r="J109" s="14"/>
      <c r="K109" s="98"/>
      <c r="L109" s="98"/>
      <c r="M109" s="14"/>
      <c r="N109" s="14"/>
      <c r="O109" s="14"/>
    </row>
  </sheetData>
  <sortState ref="Q2:R32">
    <sortCondition ref="Q2"/>
  </sortState>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40"/>
  <sheetViews>
    <sheetView workbookViewId="0">
      <selection activeCell="B17" sqref="B17"/>
    </sheetView>
  </sheetViews>
  <sheetFormatPr defaultRowHeight="15" x14ac:dyDescent="0.25"/>
  <cols>
    <col min="1" max="1" width="20.5703125" bestFit="1" customWidth="1"/>
    <col min="2" max="2" width="50.5703125" customWidth="1"/>
    <col min="3" max="3" width="15.28515625" customWidth="1"/>
    <col min="4" max="4" width="28.7109375" style="62" bestFit="1" customWidth="1"/>
    <col min="5" max="5" width="18" customWidth="1"/>
    <col min="6" max="6" width="17.28515625" customWidth="1"/>
  </cols>
  <sheetData>
    <row r="1" spans="1:6" x14ac:dyDescent="0.25">
      <c r="A1" s="54" t="s">
        <v>7</v>
      </c>
      <c r="B1" s="55" t="str">
        <f>data!L2</f>
        <v>DE110466=</v>
      </c>
    </row>
    <row r="2" spans="1:6" x14ac:dyDescent="0.25">
      <c r="A2" s="56" t="s">
        <v>15</v>
      </c>
      <c r="B2" s="57" t="str">
        <f>data!L3</f>
        <v>EUR</v>
      </c>
    </row>
    <row r="3" spans="1:6" x14ac:dyDescent="0.25">
      <c r="A3" s="56" t="s">
        <v>20</v>
      </c>
      <c r="B3" s="65">
        <f>data!L5</f>
        <v>43440</v>
      </c>
    </row>
    <row r="4" spans="1:6" x14ac:dyDescent="0.25">
      <c r="A4" s="56" t="s">
        <v>23</v>
      </c>
      <c r="B4" s="65">
        <f>data!L6</f>
        <v>43444</v>
      </c>
    </row>
    <row r="5" spans="1:6" x14ac:dyDescent="0.25">
      <c r="A5" s="56" t="s">
        <v>26</v>
      </c>
      <c r="B5" s="65">
        <f>data!L7</f>
        <v>43448</v>
      </c>
    </row>
    <row r="6" spans="1:6" x14ac:dyDescent="0.25">
      <c r="A6" s="56" t="s">
        <v>506</v>
      </c>
      <c r="B6" s="57">
        <f>data!L8</f>
        <v>1.278E-2</v>
      </c>
    </row>
    <row r="7" spans="1:6" x14ac:dyDescent="0.25">
      <c r="A7" s="56" t="s">
        <v>507</v>
      </c>
      <c r="B7" s="57">
        <f>data!L9</f>
        <v>-5.4800000000000005E-3</v>
      </c>
    </row>
    <row r="8" spans="1:6" x14ac:dyDescent="0.25">
      <c r="A8" s="56" t="s">
        <v>40</v>
      </c>
      <c r="B8" s="132">
        <f>data!L10</f>
        <v>99.986000000000004</v>
      </c>
      <c r="F8" s="14"/>
    </row>
    <row r="9" spans="1:6" x14ac:dyDescent="0.25">
      <c r="A9" s="56" t="s">
        <v>44</v>
      </c>
      <c r="B9" s="132">
        <f>data!L11</f>
        <v>100.006</v>
      </c>
    </row>
    <row r="10" spans="1:6" x14ac:dyDescent="0.25">
      <c r="A10" s="56" t="s">
        <v>47</v>
      </c>
      <c r="B10" s="57" t="str">
        <f>data!L12</f>
        <v>PXC</v>
      </c>
    </row>
    <row r="11" spans="1:6" ht="60" x14ac:dyDescent="0.25">
      <c r="A11" s="56" t="s">
        <v>508</v>
      </c>
      <c r="B11" s="66" t="str">
        <f>data!L15</f>
        <v xml:space="preserve">ACC:AA CCM:BBAA CFADJ:NO CLDR:EMU_FI DATED:11NOV2016 DMC:F EMC:S FRCD:14DEC2017 FRQ:1 ISSUE:11NOV2016 NOTIONAL:1 PX:C PXRND:1E-5:NEAR REFDATE:MATURITY RP:1 SETTLE:2WD XD:NO </v>
      </c>
      <c r="C11" s="14"/>
      <c r="E11" s="14"/>
      <c r="F11" s="14"/>
    </row>
    <row r="12" spans="1:6" ht="13.5" customHeight="1" thickBot="1" x14ac:dyDescent="0.3">
      <c r="A12" s="59" t="s">
        <v>18</v>
      </c>
      <c r="B12" s="67" t="str">
        <f>data!L17</f>
        <v>Act/Act</v>
      </c>
      <c r="D12" s="106"/>
      <c r="E12" s="14"/>
      <c r="F12" s="14"/>
    </row>
    <row r="13" spans="1:6" x14ac:dyDescent="0.25">
      <c r="C13" s="14"/>
      <c r="D13" s="107" t="s">
        <v>48</v>
      </c>
    </row>
    <row r="14" spans="1:6" ht="15.75" thickBot="1" x14ac:dyDescent="0.3"/>
    <row r="15" spans="1:6" x14ac:dyDescent="0.25">
      <c r="A15" s="115" t="s">
        <v>823</v>
      </c>
      <c r="B15" s="124">
        <v>1</v>
      </c>
    </row>
    <row r="16" spans="1:6" x14ac:dyDescent="0.25">
      <c r="A16" s="116" t="s">
        <v>840</v>
      </c>
      <c r="B16" s="125">
        <f>YEARFRAC(B4,B5,1)</f>
        <v>1.0958904109589041E-2</v>
      </c>
      <c r="E16" s="4"/>
      <c r="F16" s="63"/>
    </row>
    <row r="17" spans="1:6" x14ac:dyDescent="0.25">
      <c r="A17" s="117" t="s">
        <v>824</v>
      </c>
      <c r="B17" s="125">
        <f>main!B19</f>
        <v>100</v>
      </c>
    </row>
    <row r="18" spans="1:6" ht="15.75" thickBot="1" x14ac:dyDescent="0.3">
      <c r="A18" s="118" t="s">
        <v>854</v>
      </c>
      <c r="B18" s="126">
        <f>B17/(1+B16*(B7+B6)/2)</f>
        <v>99.996000159993599</v>
      </c>
    </row>
    <row r="19" spans="1:6" x14ac:dyDescent="0.25">
      <c r="A19" s="105"/>
      <c r="B19" s="105"/>
    </row>
    <row r="20" spans="1:6" x14ac:dyDescent="0.25">
      <c r="A20" s="7"/>
    </row>
    <row r="22" spans="1:6" x14ac:dyDescent="0.25">
      <c r="F22" s="4"/>
    </row>
    <row r="25" spans="1:6" x14ac:dyDescent="0.25">
      <c r="F25" s="4"/>
    </row>
    <row r="26" spans="1:6" x14ac:dyDescent="0.25">
      <c r="F26" s="4"/>
    </row>
    <row r="27" spans="1:6" x14ac:dyDescent="0.25">
      <c r="F27" s="4"/>
    </row>
    <row r="28" spans="1:6" x14ac:dyDescent="0.25">
      <c r="F28" s="4"/>
    </row>
    <row r="29" spans="1:6" x14ac:dyDescent="0.25">
      <c r="F29" s="4"/>
    </row>
    <row r="33" spans="2:6" x14ac:dyDescent="0.25">
      <c r="F33" s="4"/>
    </row>
    <row r="39" spans="2:6" x14ac:dyDescent="0.25">
      <c r="B39" s="64"/>
    </row>
    <row r="40" spans="2:6" x14ac:dyDescent="0.25">
      <c r="B40" s="64"/>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595"/>
  <sheetViews>
    <sheetView topLeftCell="A7" zoomScaleNormal="100" workbookViewId="0">
      <selection activeCell="B8" sqref="B8"/>
    </sheetView>
  </sheetViews>
  <sheetFormatPr defaultRowHeight="15" x14ac:dyDescent="0.25"/>
  <cols>
    <col min="1" max="1" width="20.5703125" style="61" bestFit="1" customWidth="1"/>
    <col min="2" max="2" width="20.28515625" style="61" bestFit="1" customWidth="1"/>
    <col min="3" max="3" width="54.5703125" style="61" customWidth="1"/>
    <col min="4" max="4" width="20.28515625" style="61" customWidth="1"/>
  </cols>
  <sheetData>
    <row r="1" spans="1:4" x14ac:dyDescent="0.25">
      <c r="A1" s="69" t="s">
        <v>7</v>
      </c>
      <c r="B1" s="55" t="str">
        <f>data!O2</f>
        <v>DE114168=</v>
      </c>
      <c r="C1" s="98"/>
      <c r="D1" s="121" t="s">
        <v>518</v>
      </c>
    </row>
    <row r="2" spans="1:4" x14ac:dyDescent="0.25">
      <c r="A2" s="70" t="s">
        <v>15</v>
      </c>
      <c r="B2" s="57" t="str">
        <f>data!O3</f>
        <v>EUR</v>
      </c>
      <c r="C2" s="98"/>
      <c r="D2" s="122">
        <f>IF(data!O36=0,"",data!O36)</f>
        <v>43518</v>
      </c>
    </row>
    <row r="3" spans="1:4" x14ac:dyDescent="0.25">
      <c r="A3" s="70" t="s">
        <v>20</v>
      </c>
      <c r="B3" s="65">
        <f>data!O5</f>
        <v>43440</v>
      </c>
      <c r="C3" s="98"/>
      <c r="D3" s="122">
        <f>IF(data!O37=0,"",data!O37)</f>
        <v>43518</v>
      </c>
    </row>
    <row r="4" spans="1:4" x14ac:dyDescent="0.25">
      <c r="A4" s="70" t="s">
        <v>23</v>
      </c>
      <c r="B4" s="65">
        <f>data!O6</f>
        <v>43444</v>
      </c>
      <c r="C4" s="98"/>
      <c r="D4" s="122">
        <f>IF(data!O38=0,"",data!O38)</f>
        <v>43518</v>
      </c>
    </row>
    <row r="5" spans="1:4" x14ac:dyDescent="0.25">
      <c r="A5" s="70" t="s">
        <v>26</v>
      </c>
      <c r="B5" s="65">
        <f>data!O7</f>
        <v>43518</v>
      </c>
      <c r="C5" s="98"/>
      <c r="D5" s="122">
        <f>IF(data!O39=0,"",data!O39)</f>
        <v>43518</v>
      </c>
    </row>
    <row r="6" spans="1:4" x14ac:dyDescent="0.25">
      <c r="A6" s="70" t="s">
        <v>38</v>
      </c>
      <c r="B6" s="120">
        <f>data!O8</f>
        <v>0.01</v>
      </c>
      <c r="C6" s="98"/>
      <c r="D6" s="122">
        <f>IF(data!O40=0,"",data!O40)</f>
        <v>43518</v>
      </c>
    </row>
    <row r="7" spans="1:4" x14ac:dyDescent="0.25">
      <c r="A7" s="70" t="s">
        <v>506</v>
      </c>
      <c r="B7" s="120">
        <f>data!O9</f>
        <v>-7.084E-3</v>
      </c>
      <c r="C7" s="98"/>
      <c r="D7" s="122">
        <f>IF(data!O41=0,"",data!O41)</f>
        <v>43518</v>
      </c>
    </row>
    <row r="8" spans="1:4" x14ac:dyDescent="0.25">
      <c r="A8" s="70" t="s">
        <v>507</v>
      </c>
      <c r="B8" s="120">
        <f>data!O10</f>
        <v>-8.3010000000000011E-3</v>
      </c>
      <c r="C8" s="98"/>
      <c r="D8" s="122">
        <f>IF(data!O42=0,"",data!O42)</f>
        <v>43518</v>
      </c>
    </row>
    <row r="9" spans="1:4" x14ac:dyDescent="0.25">
      <c r="A9" s="70" t="s">
        <v>504</v>
      </c>
      <c r="B9" s="120">
        <f>data!O11</f>
        <v>100.348</v>
      </c>
      <c r="C9" s="98"/>
      <c r="D9" s="122">
        <f>IF(data!O43=0,"",data!O43)</f>
        <v>43518</v>
      </c>
    </row>
    <row r="10" spans="1:4" x14ac:dyDescent="0.25">
      <c r="A10" s="70" t="s">
        <v>505</v>
      </c>
      <c r="B10" s="120">
        <f>data!O12</f>
        <v>100.373</v>
      </c>
      <c r="C10" s="98"/>
      <c r="D10" s="122">
        <f>IF(data!O44=0,"",data!O44)</f>
        <v>43518</v>
      </c>
    </row>
    <row r="11" spans="1:4" x14ac:dyDescent="0.25">
      <c r="A11" s="70" t="s">
        <v>503</v>
      </c>
      <c r="B11" s="173" t="str">
        <f>data!O15</f>
        <v xml:space="preserve">ACC:AA CCM:BBAA CFADJ:NO CLDR:EMU_FI DATED:17JAN2014 DMC:F EMC:S FRCD:22FEB2015 FRQ:1 ISSUE:17JAN2014 NOTIONAL:1 PX:C PXRND:1E-5:NEAR REFDATE:MATURITY RP:1 SETTLE:2WD XD:NO </v>
      </c>
      <c r="C11" s="173"/>
      <c r="D11" s="122">
        <f>IF(data!O45=0,"",data!O45)</f>
        <v>43518</v>
      </c>
    </row>
    <row r="12" spans="1:4" x14ac:dyDescent="0.25">
      <c r="A12" s="70"/>
      <c r="B12" s="173"/>
      <c r="C12" s="173"/>
      <c r="D12" s="122">
        <f>IF(data!O46=0,"",data!O46)</f>
        <v>43518</v>
      </c>
    </row>
    <row r="13" spans="1:4" x14ac:dyDescent="0.25">
      <c r="A13" s="70"/>
      <c r="B13" s="173"/>
      <c r="C13" s="173"/>
      <c r="D13" s="122">
        <f>IF(data!O47=0,"",data!O47)</f>
        <v>43518</v>
      </c>
    </row>
    <row r="14" spans="1:4" x14ac:dyDescent="0.25">
      <c r="A14" s="71" t="s">
        <v>515</v>
      </c>
      <c r="B14" s="65">
        <f>data!O17</f>
        <v>43153</v>
      </c>
      <c r="C14" s="98"/>
      <c r="D14" s="122">
        <f>IF(data!O48=0,"",data!O48)</f>
        <v>43518</v>
      </c>
    </row>
    <row r="15" spans="1:4" x14ac:dyDescent="0.25">
      <c r="A15" s="71" t="s">
        <v>516</v>
      </c>
      <c r="B15" s="65">
        <f>data!O18</f>
        <v>43518</v>
      </c>
      <c r="C15" s="98"/>
      <c r="D15" s="122">
        <f>IF(data!O49=0,"",data!O49)</f>
        <v>43518</v>
      </c>
    </row>
    <row r="16" spans="1:4" x14ac:dyDescent="0.25">
      <c r="A16" s="71" t="s">
        <v>517</v>
      </c>
      <c r="B16" s="65">
        <f>data!O19</f>
        <v>43518</v>
      </c>
      <c r="C16" s="98"/>
      <c r="D16" s="122">
        <f>IF(data!O50=0,"",data!O50)</f>
        <v>43518</v>
      </c>
    </row>
    <row r="17" spans="1:4" x14ac:dyDescent="0.25">
      <c r="A17" s="71" t="s">
        <v>524</v>
      </c>
      <c r="B17" s="65">
        <f>data!O22</f>
        <v>41656</v>
      </c>
      <c r="C17" s="98"/>
      <c r="D17" s="122">
        <f>IF(data!O51=0,"",data!O51)</f>
        <v>43518</v>
      </c>
    </row>
    <row r="18" spans="1:4" x14ac:dyDescent="0.25">
      <c r="A18" s="71" t="s">
        <v>526</v>
      </c>
      <c r="B18" s="65">
        <f>data!O23</f>
        <v>41656</v>
      </c>
      <c r="C18" s="98"/>
      <c r="D18" s="122">
        <f>IF(data!O52=0,"",data!O52)</f>
        <v>43518</v>
      </c>
    </row>
    <row r="19" spans="1:4" x14ac:dyDescent="0.25">
      <c r="A19" s="70" t="s">
        <v>18</v>
      </c>
      <c r="B19" s="57" t="str">
        <f>data!O26</f>
        <v>Act/Act</v>
      </c>
      <c r="C19" s="98"/>
      <c r="D19" s="122">
        <f>IF(data!O53=0,"",data!O53)</f>
        <v>43518</v>
      </c>
    </row>
    <row r="20" spans="1:4" x14ac:dyDescent="0.25">
      <c r="A20" s="70"/>
      <c r="B20" s="57"/>
      <c r="C20" s="98"/>
      <c r="D20" s="122">
        <f>IF(data!O54=0,"",data!O54)</f>
        <v>43518</v>
      </c>
    </row>
    <row r="21" spans="1:4" x14ac:dyDescent="0.25">
      <c r="A21" s="70" t="s">
        <v>528</v>
      </c>
      <c r="B21" s="57" t="str">
        <f>parseStructure(B11,"FRQ:")</f>
        <v>1</v>
      </c>
      <c r="C21" s="98"/>
      <c r="D21" s="122">
        <f>IF(data!O55=0,"",data!O55)</f>
        <v>43518</v>
      </c>
    </row>
    <row r="22" spans="1:4" x14ac:dyDescent="0.25">
      <c r="A22" s="70" t="s">
        <v>529</v>
      </c>
      <c r="B22" s="57" t="str">
        <f>parseStructure(B11,"NOTIONAL:")</f>
        <v>1</v>
      </c>
      <c r="C22" s="60" t="s">
        <v>48</v>
      </c>
      <c r="D22" s="122">
        <f>IF(data!O56=0,"",data!O56)</f>
        <v>43518</v>
      </c>
    </row>
    <row r="23" spans="1:4" x14ac:dyDescent="0.25">
      <c r="A23" s="70"/>
      <c r="B23" s="57"/>
      <c r="C23" s="98"/>
      <c r="D23" s="122">
        <f>IF(data!O57=0,"",data!O57)</f>
        <v>43518</v>
      </c>
    </row>
    <row r="24" spans="1:4" x14ac:dyDescent="0.25">
      <c r="A24" s="70" t="s">
        <v>514</v>
      </c>
      <c r="B24" s="57">
        <f>IFERROR(VALUE(B21),IF(B21="91D",4,IF(B21="182D",2,IF(B21="364D",4,"ej implementerad"))))</f>
        <v>1</v>
      </c>
      <c r="C24" s="98"/>
      <c r="D24" s="122">
        <f>IF(data!O58=0,"",data!O58)</f>
        <v>43518</v>
      </c>
    </row>
    <row r="25" spans="1:4" ht="15.75" thickBot="1" x14ac:dyDescent="0.3">
      <c r="A25" s="119" t="s">
        <v>497</v>
      </c>
      <c r="B25" s="67">
        <f>100*VALUE(SUBSTITUTE(B22,".",","))</f>
        <v>100</v>
      </c>
      <c r="C25" s="98"/>
      <c r="D25" s="122">
        <f>IF(data!O59=0,"",data!O59)</f>
        <v>43518</v>
      </c>
    </row>
    <row r="26" spans="1:4" ht="15.75" thickBot="1" x14ac:dyDescent="0.3">
      <c r="A26" s="29"/>
      <c r="B26" s="29"/>
      <c r="C26" s="72"/>
      <c r="D26" s="122">
        <f>IF(data!O60=0,"",data!O60)</f>
        <v>43518</v>
      </c>
    </row>
    <row r="27" spans="1:4" x14ac:dyDescent="0.25">
      <c r="A27" s="112" t="s">
        <v>822</v>
      </c>
      <c r="B27" s="124">
        <f>B6*B25</f>
        <v>1</v>
      </c>
      <c r="C27" s="75"/>
      <c r="D27" s="122">
        <f>IF(data!O61=0,"",data!O61)</f>
        <v>43518</v>
      </c>
    </row>
    <row r="28" spans="1:4" x14ac:dyDescent="0.25">
      <c r="A28" s="113" t="s">
        <v>840</v>
      </c>
      <c r="B28" s="125">
        <f>YEARFRAC(B4,B5,1)</f>
        <v>0.20273972602739726</v>
      </c>
      <c r="D28" s="122">
        <f>IF(data!O65=0,"",data!O65)</f>
        <v>43518</v>
      </c>
    </row>
    <row r="29" spans="1:4" x14ac:dyDescent="0.25">
      <c r="A29" s="113" t="s">
        <v>861</v>
      </c>
      <c r="B29" s="125">
        <f>bondPrice(B27,B25,(B7+B8)/2,B24,B28)</f>
        <v>101.15824993091158</v>
      </c>
      <c r="D29" s="122">
        <f>IF(data!O67=0,"",data!O67)</f>
        <v>43518</v>
      </c>
    </row>
    <row r="30" spans="1:4" ht="15.75" thickBot="1" x14ac:dyDescent="0.3">
      <c r="A30" s="114" t="s">
        <v>862</v>
      </c>
      <c r="B30" s="126">
        <f>bondcleanPrice(B27,B25,(B7+B8)/2,B24,B28)</f>
        <v>100.36098965693898</v>
      </c>
      <c r="D30" s="122">
        <f>IF(data!O68=0,"",data!O68)</f>
        <v>43518</v>
      </c>
    </row>
    <row r="31" spans="1:4" ht="15.75" thickBot="1" x14ac:dyDescent="0.3">
      <c r="A31" s="7"/>
      <c r="D31" s="122">
        <f>IF(data!O69=0,"",data!O69)</f>
        <v>43518</v>
      </c>
    </row>
    <row r="32" spans="1:4" x14ac:dyDescent="0.25">
      <c r="A32" s="112" t="s">
        <v>826</v>
      </c>
      <c r="B32" s="109">
        <f>dur(B29,B27,B25,(B7+B8)/2,B24,B28)</f>
        <v>0.20273972602739729</v>
      </c>
      <c r="D32" s="122">
        <f>IF(data!O70=0,"",data!O70)</f>
        <v>43518</v>
      </c>
    </row>
    <row r="33" spans="1:4" x14ac:dyDescent="0.25">
      <c r="A33" s="113" t="s">
        <v>828</v>
      </c>
      <c r="B33" s="110">
        <f>mod_duration(B32,(B7+B8)/2)</f>
        <v>0.2043113914057863</v>
      </c>
      <c r="C33" s="95"/>
      <c r="D33" s="122">
        <f>IF(data!O71=0,"",data!O71)</f>
        <v>43518</v>
      </c>
    </row>
    <row r="34" spans="1:4" ht="15.75" thickBot="1" x14ac:dyDescent="0.3">
      <c r="A34" s="114" t="s">
        <v>827</v>
      </c>
      <c r="B34" s="111">
        <f>convex(B29,B27,B28,B25,(B7+B8)/2,B24)</f>
        <v>0.24763838520183681</v>
      </c>
      <c r="D34" s="122">
        <f>IF(data!O72=0,"",data!O72)</f>
        <v>43518</v>
      </c>
    </row>
    <row r="35" spans="1:4" ht="15.75" thickBot="1" x14ac:dyDescent="0.3">
      <c r="D35" s="122">
        <f>IF(data!O73=0,"",data!O73)</f>
        <v>43518</v>
      </c>
    </row>
    <row r="36" spans="1:4" x14ac:dyDescent="0.25">
      <c r="A36" s="143" t="s">
        <v>858</v>
      </c>
      <c r="B36" s="153">
        <f>B37-B30</f>
        <v>-2.0655266723238697E-2</v>
      </c>
      <c r="D36" s="122">
        <f>IF(data!O74=0,"",data!O74)</f>
        <v>43518</v>
      </c>
    </row>
    <row r="37" spans="1:4" x14ac:dyDescent="0.25">
      <c r="A37" s="144" t="s">
        <v>856</v>
      </c>
      <c r="B37" s="169">
        <f>bondcleanPrice(B27,B25,(B7+B8)/2+0.001,B24,B28)</f>
        <v>100.34033439021574</v>
      </c>
      <c r="D37" s="122">
        <f>IF(data!O75=0,"",data!O75)</f>
        <v>43518</v>
      </c>
    </row>
    <row r="38" spans="1:4" x14ac:dyDescent="0.25">
      <c r="A38" s="144" t="s">
        <v>857</v>
      </c>
      <c r="B38" s="154">
        <f>price_change(B29,B33,B34,0.001)</f>
        <v>-2.0655257462727467E-2</v>
      </c>
      <c r="D38" s="122">
        <f>IF(data!O76=0,"",data!O76)</f>
        <v>43518</v>
      </c>
    </row>
    <row r="39" spans="1:4" ht="15.75" thickBot="1" x14ac:dyDescent="0.3">
      <c r="A39" s="156" t="s">
        <v>859</v>
      </c>
      <c r="B39" s="168">
        <f>B30+B38</f>
        <v>100.34033439947626</v>
      </c>
      <c r="D39" s="122">
        <f>IF(data!O77=0,"",data!O77)</f>
        <v>43518</v>
      </c>
    </row>
    <row r="40" spans="1:4" x14ac:dyDescent="0.25">
      <c r="A40" s="7"/>
      <c r="C40" s="105"/>
      <c r="D40" s="122">
        <f>IF(data!O78=0,"",data!O78)</f>
        <v>43518</v>
      </c>
    </row>
    <row r="41" spans="1:4" x14ac:dyDescent="0.25">
      <c r="D41" s="122">
        <f>IF(data!O79=0,"",data!O79)</f>
        <v>43518</v>
      </c>
    </row>
    <row r="42" spans="1:4" x14ac:dyDescent="0.25">
      <c r="B42" s="63"/>
      <c r="D42" s="122">
        <f>IF(data!O80=0,"",data!O80)</f>
        <v>43518</v>
      </c>
    </row>
    <row r="43" spans="1:4" x14ac:dyDescent="0.25">
      <c r="D43" s="122">
        <f>IF(data!O81=0,"",data!O81)</f>
        <v>43518</v>
      </c>
    </row>
    <row r="44" spans="1:4" x14ac:dyDescent="0.25">
      <c r="D44" s="122">
        <f>IF(data!O82=0,"",data!O82)</f>
        <v>43518</v>
      </c>
    </row>
    <row r="45" spans="1:4" x14ac:dyDescent="0.25">
      <c r="D45" s="122">
        <f>IF(data!O83=0,"",data!O83)</f>
        <v>43518</v>
      </c>
    </row>
    <row r="46" spans="1:4" x14ac:dyDescent="0.25">
      <c r="D46" s="122">
        <f>IF(data!O84=0,"",data!O84)</f>
        <v>43518</v>
      </c>
    </row>
    <row r="47" spans="1:4" x14ac:dyDescent="0.25">
      <c r="C47" s="4"/>
      <c r="D47" s="122">
        <f>IF(data!O85=0,"",data!O85)</f>
        <v>43518</v>
      </c>
    </row>
    <row r="48" spans="1:4" x14ac:dyDescent="0.25">
      <c r="C48" s="4"/>
      <c r="D48" s="122">
        <f>IF(data!O86=0,"",data!O86)</f>
        <v>43518</v>
      </c>
    </row>
    <row r="49" spans="1:4" x14ac:dyDescent="0.25">
      <c r="C49" s="4"/>
      <c r="D49" s="122">
        <f>IF(data!O87=0,"",data!O87)</f>
        <v>43518</v>
      </c>
    </row>
    <row r="50" spans="1:4" x14ac:dyDescent="0.25">
      <c r="C50" s="4"/>
      <c r="D50" s="122">
        <f>IF(data!O88=0,"",data!O88)</f>
        <v>43518</v>
      </c>
    </row>
    <row r="51" spans="1:4" x14ac:dyDescent="0.25">
      <c r="C51" s="9"/>
      <c r="D51" s="122">
        <f>IF(data!O89=0,"",data!O89)</f>
        <v>43518</v>
      </c>
    </row>
    <row r="52" spans="1:4" x14ac:dyDescent="0.25">
      <c r="B52" s="9"/>
      <c r="C52" s="9"/>
      <c r="D52" s="122">
        <f>IF(data!O90=0,"",data!O90)</f>
        <v>43518</v>
      </c>
    </row>
    <row r="53" spans="1:4" x14ac:dyDescent="0.25">
      <c r="B53" s="9"/>
      <c r="C53" s="4"/>
      <c r="D53" s="122">
        <f>IF(data!O91=0,"",data!O91)</f>
        <v>43518</v>
      </c>
    </row>
    <row r="54" spans="1:4" x14ac:dyDescent="0.25">
      <c r="B54" s="9"/>
      <c r="C54" s="4"/>
      <c r="D54" s="122">
        <f>IF(data!O92=0,"",data!O92)</f>
        <v>43518</v>
      </c>
    </row>
    <row r="55" spans="1:4" x14ac:dyDescent="0.25">
      <c r="B55" s="9"/>
      <c r="C55" s="4"/>
      <c r="D55" s="122">
        <f>IF(data!O93=0,"",data!O93)</f>
        <v>43518</v>
      </c>
    </row>
    <row r="56" spans="1:4" x14ac:dyDescent="0.25">
      <c r="B56" s="9"/>
      <c r="C56" s="4"/>
      <c r="D56" s="122">
        <f>IF(data!O94=0,"",data!O94)</f>
        <v>43518</v>
      </c>
    </row>
    <row r="57" spans="1:4" x14ac:dyDescent="0.25">
      <c r="B57" s="9"/>
      <c r="C57" s="4"/>
      <c r="D57" s="122">
        <f>IF(data!O95=0,"",data!O95)</f>
        <v>43518</v>
      </c>
    </row>
    <row r="58" spans="1:4" x14ac:dyDescent="0.25">
      <c r="B58" s="9"/>
      <c r="C58" s="4"/>
      <c r="D58" s="122">
        <f>IF(data!O96=0,"",data!O96)</f>
        <v>43518</v>
      </c>
    </row>
    <row r="59" spans="1:4" x14ac:dyDescent="0.25">
      <c r="A59" s="4"/>
      <c r="B59" s="4"/>
      <c r="C59" s="4"/>
      <c r="D59" s="122">
        <f>IF(data!O97=0,"",data!O97)</f>
        <v>43518</v>
      </c>
    </row>
    <row r="60" spans="1:4" x14ac:dyDescent="0.25">
      <c r="A60" s="4"/>
      <c r="B60" s="4"/>
      <c r="C60" s="4"/>
      <c r="D60" s="122">
        <f>IF(data!O98=0,"",data!O98)</f>
        <v>43518</v>
      </c>
    </row>
    <row r="61" spans="1:4" x14ac:dyDescent="0.25">
      <c r="A61" s="4"/>
      <c r="B61" s="4"/>
      <c r="C61" s="4"/>
      <c r="D61" s="122">
        <f>IF(data!O99=0,"",data!O99)</f>
        <v>43518</v>
      </c>
    </row>
    <row r="62" spans="1:4" x14ac:dyDescent="0.25">
      <c r="A62" s="4"/>
      <c r="B62" s="4"/>
      <c r="C62" s="4"/>
      <c r="D62" s="122">
        <f>IF(data!O100=0,"",data!O100)</f>
        <v>43518</v>
      </c>
    </row>
    <row r="63" spans="1:4" x14ac:dyDescent="0.25">
      <c r="A63" s="4"/>
      <c r="B63" s="4"/>
      <c r="C63" s="4"/>
      <c r="D63" s="122">
        <f>IF(data!O101=0,"",data!O101)</f>
        <v>43518</v>
      </c>
    </row>
    <row r="64" spans="1:4" x14ac:dyDescent="0.25">
      <c r="A64" s="4"/>
      <c r="B64" s="4"/>
      <c r="C64" s="4"/>
      <c r="D64" s="122">
        <f>IF(data!O102=0,"",data!O102)</f>
        <v>43518</v>
      </c>
    </row>
    <row r="65" spans="1:4" x14ac:dyDescent="0.25">
      <c r="A65" s="4"/>
      <c r="B65" s="4"/>
      <c r="C65" s="4"/>
      <c r="D65" s="122">
        <f>IF(data!O103=0,"",data!O103)</f>
        <v>43518</v>
      </c>
    </row>
    <row r="66" spans="1:4" x14ac:dyDescent="0.25">
      <c r="A66" s="4"/>
      <c r="B66" s="4"/>
      <c r="D66" s="122">
        <f>IF(data!O104=0,"",data!O104)</f>
        <v>43518</v>
      </c>
    </row>
    <row r="67" spans="1:4" x14ac:dyDescent="0.25">
      <c r="A67" s="4"/>
      <c r="B67" s="4"/>
      <c r="D67" s="122">
        <f>IF(data!O105=0,"",data!O105)</f>
        <v>43518</v>
      </c>
    </row>
    <row r="68" spans="1:4" x14ac:dyDescent="0.25">
      <c r="A68" s="4"/>
      <c r="B68" s="4"/>
      <c r="D68" s="122">
        <f>IF(data!O106=0,"",data!O106)</f>
        <v>43518</v>
      </c>
    </row>
    <row r="69" spans="1:4" x14ac:dyDescent="0.25">
      <c r="A69" s="4"/>
      <c r="B69" s="4"/>
      <c r="D69" s="122">
        <f>IF(data!O107=0,"",data!O107)</f>
        <v>43518</v>
      </c>
    </row>
    <row r="70" spans="1:4" x14ac:dyDescent="0.25">
      <c r="A70" s="4"/>
      <c r="B70" s="4"/>
      <c r="D70" s="122">
        <f>IF(data!O108=0,"",data!O108)</f>
        <v>43518</v>
      </c>
    </row>
    <row r="71" spans="1:4" x14ac:dyDescent="0.25">
      <c r="A71" s="4"/>
      <c r="B71" s="4"/>
      <c r="D71" s="122">
        <f>IF(data!O109=0,"",data!O109)</f>
        <v>43518</v>
      </c>
    </row>
    <row r="72" spans="1:4" x14ac:dyDescent="0.25">
      <c r="A72" s="4"/>
      <c r="B72" s="4"/>
      <c r="D72" s="122">
        <f>IF(data!O110=0,"",data!O110)</f>
        <v>43518</v>
      </c>
    </row>
    <row r="73" spans="1:4" x14ac:dyDescent="0.25">
      <c r="A73" s="4"/>
      <c r="B73" s="4"/>
      <c r="D73" s="122">
        <f>IF(data!O111=0,"",data!O111)</f>
        <v>43518</v>
      </c>
    </row>
    <row r="74" spans="1:4" x14ac:dyDescent="0.25">
      <c r="A74" s="4"/>
      <c r="B74" s="4"/>
      <c r="D74" s="122">
        <f>IF(data!O112=0,"",data!O112)</f>
        <v>43518</v>
      </c>
    </row>
    <row r="75" spans="1:4" x14ac:dyDescent="0.25">
      <c r="A75" s="4"/>
      <c r="B75" s="4"/>
      <c r="D75" s="122">
        <f>IF(data!O113=0,"",data!O113)</f>
        <v>43518</v>
      </c>
    </row>
    <row r="76" spans="1:4" x14ac:dyDescent="0.25">
      <c r="A76" s="4"/>
      <c r="B76" s="4"/>
      <c r="D76" s="122">
        <f>IF(data!O114=0,"",data!O114)</f>
        <v>43518</v>
      </c>
    </row>
    <row r="77" spans="1:4" x14ac:dyDescent="0.25">
      <c r="A77" s="4"/>
      <c r="B77" s="4"/>
      <c r="D77" s="122">
        <f>IF(data!O115=0,"",data!O115)</f>
        <v>43518</v>
      </c>
    </row>
    <row r="78" spans="1:4" x14ac:dyDescent="0.25">
      <c r="A78" s="4"/>
      <c r="B78" s="4"/>
      <c r="D78" s="122">
        <f>IF(data!O116=0,"",data!O116)</f>
        <v>43518</v>
      </c>
    </row>
    <row r="79" spans="1:4" x14ac:dyDescent="0.25">
      <c r="A79" s="4"/>
      <c r="B79" s="4"/>
      <c r="D79" s="122">
        <f>IF(data!O117=0,"",data!O117)</f>
        <v>43518</v>
      </c>
    </row>
    <row r="80" spans="1:4" x14ac:dyDescent="0.25">
      <c r="A80" s="4"/>
      <c r="B80" s="4"/>
      <c r="D80" s="122">
        <f>IF(data!O118=0,"",data!O118)</f>
        <v>43518</v>
      </c>
    </row>
    <row r="81" spans="1:4" x14ac:dyDescent="0.25">
      <c r="A81" s="4"/>
      <c r="B81" s="4"/>
      <c r="D81" s="122">
        <f>IF(data!O119=0,"",data!O119)</f>
        <v>43518</v>
      </c>
    </row>
    <row r="82" spans="1:4" x14ac:dyDescent="0.25">
      <c r="A82" s="4"/>
      <c r="B82" s="4"/>
      <c r="D82" s="122">
        <f>IF(data!O120=0,"",data!O120)</f>
        <v>43518</v>
      </c>
    </row>
    <row r="83" spans="1:4" x14ac:dyDescent="0.25">
      <c r="A83" s="4"/>
      <c r="B83" s="4"/>
      <c r="D83" s="122">
        <f>IF(data!O121=0,"",data!O121)</f>
        <v>43518</v>
      </c>
    </row>
    <row r="84" spans="1:4" x14ac:dyDescent="0.25">
      <c r="A84" s="4"/>
      <c r="B84" s="4"/>
      <c r="D84" s="122">
        <f>IF(data!O122=0,"",data!O122)</f>
        <v>43518</v>
      </c>
    </row>
    <row r="85" spans="1:4" x14ac:dyDescent="0.25">
      <c r="A85" s="4"/>
      <c r="B85" s="4"/>
      <c r="D85" s="122">
        <f>IF(data!O123=0,"",data!O123)</f>
        <v>43518</v>
      </c>
    </row>
    <row r="86" spans="1:4" x14ac:dyDescent="0.25">
      <c r="A86" s="4"/>
      <c r="B86" s="4"/>
      <c r="D86" s="122">
        <f>IF(data!O124=0,"",data!O124)</f>
        <v>43518</v>
      </c>
    </row>
    <row r="87" spans="1:4" x14ac:dyDescent="0.25">
      <c r="A87" s="4"/>
      <c r="B87" s="4"/>
      <c r="D87" s="122"/>
    </row>
    <row r="88" spans="1:4" x14ac:dyDescent="0.25">
      <c r="A88" s="4"/>
      <c r="B88" s="4"/>
      <c r="D88" s="122"/>
    </row>
    <row r="89" spans="1:4" x14ac:dyDescent="0.25">
      <c r="A89" s="4"/>
      <c r="B89" s="4"/>
      <c r="D89" s="122"/>
    </row>
    <row r="90" spans="1:4" x14ac:dyDescent="0.25">
      <c r="A90" s="4"/>
      <c r="B90" s="4"/>
      <c r="D90" s="122"/>
    </row>
    <row r="91" spans="1:4" x14ac:dyDescent="0.25">
      <c r="A91" s="4"/>
      <c r="B91" s="4"/>
      <c r="D91" s="122"/>
    </row>
    <row r="92" spans="1:4" x14ac:dyDescent="0.25">
      <c r="A92" s="4"/>
      <c r="B92" s="4"/>
      <c r="D92" s="122"/>
    </row>
    <row r="93" spans="1:4" x14ac:dyDescent="0.25">
      <c r="A93" s="4"/>
      <c r="B93" s="4"/>
      <c r="D93" s="122"/>
    </row>
    <row r="94" spans="1:4" x14ac:dyDescent="0.25">
      <c r="A94" s="4"/>
      <c r="B94" s="4"/>
      <c r="D94" s="122"/>
    </row>
    <row r="95" spans="1:4" x14ac:dyDescent="0.25">
      <c r="A95" s="4"/>
      <c r="B95" s="4"/>
      <c r="D95" s="122"/>
    </row>
    <row r="96" spans="1:4" x14ac:dyDescent="0.25">
      <c r="A96" s="4"/>
      <c r="B96" s="4"/>
      <c r="D96" s="122"/>
    </row>
    <row r="97" spans="1:4" x14ac:dyDescent="0.25">
      <c r="A97" s="4"/>
      <c r="B97" s="4"/>
      <c r="D97" s="122"/>
    </row>
    <row r="98" spans="1:4" x14ac:dyDescent="0.25">
      <c r="A98" s="4"/>
      <c r="B98" s="4"/>
      <c r="D98" s="122"/>
    </row>
    <row r="99" spans="1:4" x14ac:dyDescent="0.25">
      <c r="A99" s="4"/>
      <c r="B99" s="4"/>
      <c r="D99" s="122"/>
    </row>
    <row r="100" spans="1:4" x14ac:dyDescent="0.25">
      <c r="A100" s="4"/>
      <c r="B100" s="4"/>
      <c r="D100" s="122"/>
    </row>
    <row r="101" spans="1:4" x14ac:dyDescent="0.25">
      <c r="A101" s="4"/>
      <c r="B101" s="4"/>
      <c r="D101" s="122"/>
    </row>
    <row r="102" spans="1:4" x14ac:dyDescent="0.25">
      <c r="A102" s="4"/>
      <c r="B102" s="4"/>
      <c r="D102" s="122"/>
    </row>
    <row r="103" spans="1:4" x14ac:dyDescent="0.25">
      <c r="A103" s="4"/>
      <c r="B103" s="4"/>
      <c r="D103" s="122"/>
    </row>
    <row r="104" spans="1:4" x14ac:dyDescent="0.25">
      <c r="A104" s="4"/>
      <c r="B104" s="4"/>
      <c r="D104" s="122"/>
    </row>
    <row r="105" spans="1:4" x14ac:dyDescent="0.25">
      <c r="A105" s="4"/>
      <c r="B105" s="4"/>
      <c r="D105" s="122"/>
    </row>
    <row r="106" spans="1:4" x14ac:dyDescent="0.25">
      <c r="A106" s="4"/>
      <c r="B106" s="4"/>
      <c r="D106" s="122"/>
    </row>
    <row r="107" spans="1:4" x14ac:dyDescent="0.25">
      <c r="A107" s="4"/>
      <c r="B107" s="4"/>
      <c r="D107" s="122"/>
    </row>
    <row r="108" spans="1:4" x14ac:dyDescent="0.25">
      <c r="A108" s="4"/>
      <c r="B108" s="4"/>
      <c r="D108" s="122"/>
    </row>
    <row r="109" spans="1:4" x14ac:dyDescent="0.25">
      <c r="A109" s="4"/>
      <c r="B109" s="4"/>
      <c r="D109" s="122"/>
    </row>
    <row r="110" spans="1:4" x14ac:dyDescent="0.25">
      <c r="A110" s="4"/>
      <c r="B110" s="4"/>
      <c r="D110" s="122"/>
    </row>
    <row r="111" spans="1:4" x14ac:dyDescent="0.25">
      <c r="A111" s="4"/>
      <c r="B111" s="4"/>
      <c r="D111" s="122"/>
    </row>
    <row r="112" spans="1:4" x14ac:dyDescent="0.25">
      <c r="A112" s="4"/>
      <c r="B112" s="4"/>
      <c r="D112" s="122"/>
    </row>
    <row r="113" spans="1:4" x14ac:dyDescent="0.25">
      <c r="A113" s="4"/>
      <c r="B113" s="4"/>
      <c r="D113" s="122"/>
    </row>
    <row r="114" spans="1:4" x14ac:dyDescent="0.25">
      <c r="A114" s="4"/>
      <c r="B114" s="4"/>
      <c r="D114" s="122"/>
    </row>
    <row r="115" spans="1:4" x14ac:dyDescent="0.25">
      <c r="A115" s="4"/>
      <c r="B115" s="4"/>
      <c r="D115" s="122"/>
    </row>
    <row r="116" spans="1:4" x14ac:dyDescent="0.25">
      <c r="A116" s="4"/>
      <c r="B116" s="4"/>
      <c r="D116" s="122"/>
    </row>
    <row r="117" spans="1:4" x14ac:dyDescent="0.25">
      <c r="A117" s="4"/>
      <c r="B117" s="4"/>
      <c r="D117" s="122"/>
    </row>
    <row r="118" spans="1:4" x14ac:dyDescent="0.25">
      <c r="A118" s="4"/>
      <c r="B118" s="4"/>
      <c r="D118" s="122"/>
    </row>
    <row r="119" spans="1:4" x14ac:dyDescent="0.25">
      <c r="A119" s="4"/>
      <c r="B119" s="4"/>
      <c r="D119" s="122"/>
    </row>
    <row r="120" spans="1:4" x14ac:dyDescent="0.25">
      <c r="A120" s="4"/>
      <c r="B120" s="4"/>
      <c r="D120" s="122"/>
    </row>
    <row r="121" spans="1:4" x14ac:dyDescent="0.25">
      <c r="A121" s="4"/>
      <c r="B121" s="4"/>
      <c r="D121" s="122"/>
    </row>
    <row r="122" spans="1:4" x14ac:dyDescent="0.25">
      <c r="A122" s="4"/>
      <c r="B122" s="4"/>
      <c r="D122" s="122"/>
    </row>
    <row r="123" spans="1:4" x14ac:dyDescent="0.25">
      <c r="A123" s="4"/>
      <c r="B123" s="4"/>
      <c r="D123" s="122"/>
    </row>
    <row r="124" spans="1:4" x14ac:dyDescent="0.25">
      <c r="A124" s="4"/>
      <c r="B124" s="4"/>
      <c r="D124" s="122"/>
    </row>
    <row r="125" spans="1:4" x14ac:dyDescent="0.25">
      <c r="A125" s="4"/>
      <c r="B125" s="4"/>
      <c r="D125" s="122"/>
    </row>
    <row r="126" spans="1:4" x14ac:dyDescent="0.25">
      <c r="A126" s="4"/>
      <c r="B126" s="4"/>
      <c r="D126" s="122"/>
    </row>
    <row r="127" spans="1:4" x14ac:dyDescent="0.25">
      <c r="A127" s="4"/>
      <c r="B127" s="4"/>
      <c r="D127" s="122"/>
    </row>
    <row r="128" spans="1:4" x14ac:dyDescent="0.25">
      <c r="A128" s="4"/>
      <c r="B128" s="4"/>
      <c r="D128" s="122"/>
    </row>
    <row r="129" spans="1:4" x14ac:dyDescent="0.25">
      <c r="A129" s="4"/>
      <c r="B129" s="4"/>
      <c r="D129" s="122"/>
    </row>
    <row r="130" spans="1:4" x14ac:dyDescent="0.25">
      <c r="A130" s="4"/>
      <c r="B130" s="4"/>
      <c r="D130" s="122"/>
    </row>
    <row r="131" spans="1:4" x14ac:dyDescent="0.25">
      <c r="A131" s="4"/>
      <c r="B131" s="4"/>
      <c r="D131" s="122"/>
    </row>
    <row r="132" spans="1:4" x14ac:dyDescent="0.25">
      <c r="A132" s="4"/>
      <c r="B132" s="4"/>
      <c r="D132" s="122"/>
    </row>
    <row r="133" spans="1:4" x14ac:dyDescent="0.25">
      <c r="A133" s="4"/>
      <c r="B133" s="4"/>
      <c r="D133" s="122"/>
    </row>
    <row r="134" spans="1:4" x14ac:dyDescent="0.25">
      <c r="A134" s="4"/>
      <c r="B134" s="4"/>
      <c r="D134" s="122"/>
    </row>
    <row r="135" spans="1:4" x14ac:dyDescent="0.25">
      <c r="A135" s="4"/>
      <c r="B135" s="4"/>
      <c r="D135" s="122"/>
    </row>
    <row r="136" spans="1:4" x14ac:dyDescent="0.25">
      <c r="A136" s="4"/>
      <c r="B136" s="4"/>
      <c r="D136" s="122"/>
    </row>
    <row r="137" spans="1:4" x14ac:dyDescent="0.25">
      <c r="A137" s="4"/>
      <c r="B137" s="4"/>
      <c r="D137" s="122"/>
    </row>
    <row r="138" spans="1:4" x14ac:dyDescent="0.25">
      <c r="A138" s="4"/>
      <c r="B138" s="4"/>
      <c r="D138" s="122"/>
    </row>
    <row r="139" spans="1:4" x14ac:dyDescent="0.25">
      <c r="A139" s="4"/>
      <c r="B139" s="4"/>
      <c r="D139" s="122"/>
    </row>
    <row r="140" spans="1:4" x14ac:dyDescent="0.25">
      <c r="A140" s="4"/>
      <c r="B140" s="4"/>
      <c r="D140" s="122"/>
    </row>
    <row r="141" spans="1:4" x14ac:dyDescent="0.25">
      <c r="A141" s="4"/>
      <c r="B141" s="4"/>
      <c r="D141" s="122"/>
    </row>
    <row r="142" spans="1:4" x14ac:dyDescent="0.25">
      <c r="A142" s="4"/>
      <c r="B142" s="4"/>
      <c r="D142" s="122"/>
    </row>
    <row r="143" spans="1:4" x14ac:dyDescent="0.25">
      <c r="A143" s="4"/>
      <c r="B143" s="4"/>
      <c r="D143" s="122"/>
    </row>
    <row r="144" spans="1:4" x14ac:dyDescent="0.25">
      <c r="A144" s="4"/>
      <c r="B144" s="4"/>
      <c r="D144" s="122"/>
    </row>
    <row r="145" spans="1:4" x14ac:dyDescent="0.25">
      <c r="A145" s="4"/>
      <c r="B145" s="4"/>
      <c r="D145" s="122"/>
    </row>
    <row r="146" spans="1:4" x14ac:dyDescent="0.25">
      <c r="A146" s="4"/>
      <c r="B146" s="4"/>
      <c r="D146" s="122"/>
    </row>
    <row r="147" spans="1:4" x14ac:dyDescent="0.25">
      <c r="A147" s="4"/>
      <c r="B147" s="4"/>
      <c r="D147" s="122"/>
    </row>
    <row r="148" spans="1:4" x14ac:dyDescent="0.25">
      <c r="A148" s="4"/>
      <c r="B148" s="4"/>
      <c r="D148" s="122"/>
    </row>
    <row r="149" spans="1:4" x14ac:dyDescent="0.25">
      <c r="A149" s="4"/>
      <c r="B149" s="4"/>
      <c r="D149" s="122"/>
    </row>
    <row r="150" spans="1:4" x14ac:dyDescent="0.25">
      <c r="A150" s="4"/>
      <c r="B150" s="4"/>
      <c r="D150" s="122"/>
    </row>
    <row r="151" spans="1:4" x14ac:dyDescent="0.25">
      <c r="A151" s="4"/>
      <c r="B151" s="4"/>
      <c r="D151" s="122"/>
    </row>
    <row r="152" spans="1:4" x14ac:dyDescent="0.25">
      <c r="A152" s="4"/>
      <c r="B152" s="4"/>
      <c r="D152" s="122"/>
    </row>
    <row r="153" spans="1:4" x14ac:dyDescent="0.25">
      <c r="A153" s="4"/>
      <c r="B153" s="4"/>
      <c r="D153" s="122"/>
    </row>
    <row r="154" spans="1:4" x14ac:dyDescent="0.25">
      <c r="A154" s="4"/>
      <c r="B154" s="4"/>
      <c r="D154" s="122"/>
    </row>
    <row r="155" spans="1:4" x14ac:dyDescent="0.25">
      <c r="A155" s="4"/>
      <c r="B155" s="4"/>
      <c r="D155" s="122"/>
    </row>
    <row r="156" spans="1:4" x14ac:dyDescent="0.25">
      <c r="A156" s="4"/>
      <c r="B156" s="4"/>
      <c r="D156" s="122"/>
    </row>
    <row r="157" spans="1:4" x14ac:dyDescent="0.25">
      <c r="A157" s="4"/>
      <c r="B157" s="4"/>
      <c r="D157" s="122"/>
    </row>
    <row r="158" spans="1:4" x14ac:dyDescent="0.25">
      <c r="A158" s="4"/>
      <c r="B158" s="4"/>
      <c r="D158" s="122"/>
    </row>
    <row r="159" spans="1:4" x14ac:dyDescent="0.25">
      <c r="A159" s="4"/>
      <c r="B159" s="4"/>
      <c r="D159" s="122"/>
    </row>
    <row r="160" spans="1:4" x14ac:dyDescent="0.25">
      <c r="A160" s="4"/>
      <c r="B160" s="4"/>
      <c r="D160" s="122"/>
    </row>
    <row r="161" spans="1:4" x14ac:dyDescent="0.25">
      <c r="A161" s="4"/>
      <c r="B161" s="4"/>
      <c r="D161" s="122"/>
    </row>
    <row r="162" spans="1:4" x14ac:dyDescent="0.25">
      <c r="A162" s="4"/>
      <c r="B162" s="4"/>
      <c r="D162" s="122"/>
    </row>
    <row r="163" spans="1:4" x14ac:dyDescent="0.25">
      <c r="A163" s="4"/>
      <c r="B163" s="4"/>
      <c r="D163" s="122"/>
    </row>
    <row r="164" spans="1:4" x14ac:dyDescent="0.25">
      <c r="A164" s="4"/>
      <c r="B164" s="4"/>
      <c r="D164" s="122"/>
    </row>
    <row r="165" spans="1:4" x14ac:dyDescent="0.25">
      <c r="A165" s="4"/>
      <c r="B165" s="4"/>
      <c r="D165" s="122"/>
    </row>
    <row r="166" spans="1:4" x14ac:dyDescent="0.25">
      <c r="A166" s="4"/>
      <c r="B166" s="4"/>
      <c r="D166" s="122"/>
    </row>
    <row r="167" spans="1:4" x14ac:dyDescent="0.25">
      <c r="A167" s="4"/>
      <c r="B167" s="4"/>
      <c r="D167" s="122"/>
    </row>
    <row r="168" spans="1:4" x14ac:dyDescent="0.25">
      <c r="A168" s="4"/>
      <c r="B168" s="4"/>
      <c r="D168" s="122"/>
    </row>
    <row r="169" spans="1:4" x14ac:dyDescent="0.25">
      <c r="A169" s="4"/>
      <c r="B169" s="4"/>
      <c r="D169" s="122"/>
    </row>
    <row r="170" spans="1:4" x14ac:dyDescent="0.25">
      <c r="A170" s="4"/>
      <c r="B170" s="4"/>
      <c r="D170" s="122"/>
    </row>
    <row r="171" spans="1:4" x14ac:dyDescent="0.25">
      <c r="A171" s="4"/>
      <c r="B171" s="4"/>
      <c r="D171" s="122"/>
    </row>
    <row r="172" spans="1:4" x14ac:dyDescent="0.25">
      <c r="A172" s="4"/>
      <c r="B172" s="4"/>
      <c r="D172" s="122"/>
    </row>
    <row r="173" spans="1:4" x14ac:dyDescent="0.25">
      <c r="A173" s="4"/>
      <c r="B173" s="4"/>
      <c r="D173" s="122"/>
    </row>
    <row r="174" spans="1:4" x14ac:dyDescent="0.25">
      <c r="A174" s="4"/>
      <c r="B174" s="4"/>
      <c r="D174" s="122"/>
    </row>
    <row r="175" spans="1:4" x14ac:dyDescent="0.25">
      <c r="A175" s="4"/>
      <c r="B175" s="4"/>
      <c r="D175" s="122"/>
    </row>
    <row r="176" spans="1:4" x14ac:dyDescent="0.25">
      <c r="A176" s="4"/>
      <c r="B176" s="4"/>
      <c r="D176" s="122"/>
    </row>
    <row r="177" spans="1:4" x14ac:dyDescent="0.25">
      <c r="A177" s="4"/>
      <c r="B177" s="4"/>
      <c r="D177" s="122"/>
    </row>
    <row r="178" spans="1:4" x14ac:dyDescent="0.25">
      <c r="A178" s="4"/>
      <c r="B178" s="4"/>
      <c r="D178" s="122"/>
    </row>
    <row r="179" spans="1:4" x14ac:dyDescent="0.25">
      <c r="A179" s="4"/>
      <c r="B179" s="4"/>
      <c r="D179" s="122"/>
    </row>
    <row r="180" spans="1:4" x14ac:dyDescent="0.25">
      <c r="A180" s="4"/>
      <c r="B180" s="4"/>
      <c r="D180" s="122"/>
    </row>
    <row r="181" spans="1:4" x14ac:dyDescent="0.25">
      <c r="A181" s="4"/>
      <c r="B181" s="4"/>
      <c r="D181" s="122"/>
    </row>
    <row r="182" spans="1:4" x14ac:dyDescent="0.25">
      <c r="A182" s="4"/>
      <c r="B182" s="4"/>
      <c r="D182" s="122"/>
    </row>
    <row r="183" spans="1:4" x14ac:dyDescent="0.25">
      <c r="A183" s="4"/>
      <c r="B183" s="4"/>
      <c r="D183" s="122"/>
    </row>
    <row r="184" spans="1:4" x14ac:dyDescent="0.25">
      <c r="A184" s="4"/>
      <c r="B184" s="4"/>
      <c r="D184" s="122"/>
    </row>
    <row r="185" spans="1:4" x14ac:dyDescent="0.25">
      <c r="A185" s="4"/>
      <c r="B185" s="4"/>
      <c r="D185" s="122"/>
    </row>
    <row r="186" spans="1:4" x14ac:dyDescent="0.25">
      <c r="A186" s="4"/>
      <c r="B186" s="4"/>
      <c r="D186" s="122"/>
    </row>
    <row r="187" spans="1:4" x14ac:dyDescent="0.25">
      <c r="A187" s="4"/>
      <c r="B187" s="4"/>
      <c r="D187" s="122"/>
    </row>
    <row r="188" spans="1:4" x14ac:dyDescent="0.25">
      <c r="A188" s="4"/>
      <c r="B188" s="4"/>
      <c r="D188" s="122"/>
    </row>
    <row r="189" spans="1:4" x14ac:dyDescent="0.25">
      <c r="A189" s="4"/>
      <c r="B189" s="4"/>
      <c r="D189" s="122"/>
    </row>
    <row r="190" spans="1:4" x14ac:dyDescent="0.25">
      <c r="A190" s="4"/>
      <c r="B190" s="4"/>
      <c r="D190" s="122"/>
    </row>
    <row r="191" spans="1:4" x14ac:dyDescent="0.25">
      <c r="A191" s="4"/>
      <c r="B191" s="4"/>
      <c r="D191" s="122"/>
    </row>
    <row r="192" spans="1:4" x14ac:dyDescent="0.25">
      <c r="A192" s="4"/>
      <c r="B192" s="4"/>
      <c r="D192" s="122"/>
    </row>
    <row r="193" spans="1:4" x14ac:dyDescent="0.25">
      <c r="A193" s="4"/>
      <c r="B193" s="4"/>
      <c r="D193" s="122"/>
    </row>
    <row r="194" spans="1:4" x14ac:dyDescent="0.25">
      <c r="A194" s="4"/>
      <c r="B194" s="4"/>
      <c r="D194" s="122"/>
    </row>
    <row r="195" spans="1:4" x14ac:dyDescent="0.25">
      <c r="A195" s="4"/>
      <c r="B195" s="4"/>
      <c r="D195" s="122"/>
    </row>
    <row r="196" spans="1:4" x14ac:dyDescent="0.25">
      <c r="A196" s="4"/>
      <c r="B196" s="4"/>
      <c r="D196" s="122"/>
    </row>
    <row r="197" spans="1:4" x14ac:dyDescent="0.25">
      <c r="A197" s="4"/>
      <c r="B197" s="4"/>
      <c r="D197" s="122"/>
    </row>
    <row r="198" spans="1:4" x14ac:dyDescent="0.25">
      <c r="A198" s="4"/>
      <c r="B198" s="4"/>
      <c r="D198" s="122"/>
    </row>
    <row r="199" spans="1:4" x14ac:dyDescent="0.25">
      <c r="A199" s="4"/>
      <c r="B199" s="4"/>
      <c r="D199" s="122"/>
    </row>
    <row r="200" spans="1:4" x14ac:dyDescent="0.25">
      <c r="A200" s="4"/>
      <c r="B200" s="4"/>
      <c r="D200" s="122"/>
    </row>
    <row r="201" spans="1:4" x14ac:dyDescent="0.25">
      <c r="A201" s="4"/>
      <c r="B201" s="4"/>
      <c r="D201" s="122"/>
    </row>
    <row r="202" spans="1:4" x14ac:dyDescent="0.25">
      <c r="A202" s="4"/>
      <c r="B202" s="4"/>
      <c r="D202" s="122"/>
    </row>
    <row r="203" spans="1:4" x14ac:dyDescent="0.25">
      <c r="A203" s="4"/>
      <c r="B203" s="4"/>
      <c r="D203" s="122"/>
    </row>
    <row r="204" spans="1:4" x14ac:dyDescent="0.25">
      <c r="A204" s="4"/>
      <c r="B204" s="4"/>
      <c r="D204" s="122"/>
    </row>
    <row r="205" spans="1:4" x14ac:dyDescent="0.25">
      <c r="A205" s="4"/>
      <c r="B205" s="4"/>
      <c r="D205" s="122"/>
    </row>
    <row r="206" spans="1:4" x14ac:dyDescent="0.25">
      <c r="A206" s="4"/>
      <c r="B206" s="4"/>
      <c r="D206" s="122"/>
    </row>
    <row r="207" spans="1:4" x14ac:dyDescent="0.25">
      <c r="A207" s="4"/>
      <c r="B207" s="4"/>
      <c r="D207" s="122"/>
    </row>
    <row r="208" spans="1:4" x14ac:dyDescent="0.25">
      <c r="A208" s="4"/>
      <c r="B208" s="4"/>
      <c r="D208" s="122"/>
    </row>
    <row r="209" spans="1:4" x14ac:dyDescent="0.25">
      <c r="A209" s="4"/>
      <c r="B209" s="4"/>
      <c r="D209" s="122"/>
    </row>
    <row r="210" spans="1:4" x14ac:dyDescent="0.25">
      <c r="A210" s="4"/>
      <c r="B210" s="4"/>
      <c r="D210" s="122"/>
    </row>
    <row r="211" spans="1:4" x14ac:dyDescent="0.25">
      <c r="A211" s="4"/>
      <c r="B211" s="4"/>
      <c r="D211" s="122"/>
    </row>
    <row r="212" spans="1:4" x14ac:dyDescent="0.25">
      <c r="A212" s="4"/>
      <c r="B212" s="4"/>
      <c r="D212" s="122"/>
    </row>
    <row r="213" spans="1:4" x14ac:dyDescent="0.25">
      <c r="A213" s="4"/>
      <c r="B213" s="4"/>
      <c r="D213" s="122"/>
    </row>
    <row r="214" spans="1:4" x14ac:dyDescent="0.25">
      <c r="A214" s="4"/>
      <c r="B214" s="4"/>
      <c r="D214" s="122"/>
    </row>
    <row r="215" spans="1:4" x14ac:dyDescent="0.25">
      <c r="A215" s="4"/>
      <c r="B215" s="4"/>
      <c r="D215" s="122"/>
    </row>
    <row r="216" spans="1:4" x14ac:dyDescent="0.25">
      <c r="A216" s="4"/>
      <c r="B216" s="4"/>
      <c r="D216" s="122"/>
    </row>
    <row r="217" spans="1:4" x14ac:dyDescent="0.25">
      <c r="A217" s="4"/>
      <c r="B217" s="4"/>
      <c r="D217" s="122"/>
    </row>
    <row r="218" spans="1:4" x14ac:dyDescent="0.25">
      <c r="A218" s="4"/>
      <c r="B218" s="4"/>
      <c r="D218" s="122"/>
    </row>
    <row r="219" spans="1:4" x14ac:dyDescent="0.25">
      <c r="A219" s="4"/>
      <c r="B219" s="4"/>
      <c r="D219" s="122"/>
    </row>
    <row r="220" spans="1:4" x14ac:dyDescent="0.25">
      <c r="A220" s="4"/>
      <c r="B220" s="4"/>
      <c r="D220" s="122"/>
    </row>
    <row r="221" spans="1:4" x14ac:dyDescent="0.25">
      <c r="A221" s="4"/>
      <c r="B221" s="4"/>
      <c r="D221" s="122"/>
    </row>
    <row r="222" spans="1:4" x14ac:dyDescent="0.25">
      <c r="A222" s="4"/>
      <c r="B222" s="4"/>
      <c r="D222" s="122"/>
    </row>
    <row r="223" spans="1:4" x14ac:dyDescent="0.25">
      <c r="A223" s="4"/>
      <c r="B223" s="4"/>
      <c r="D223" s="122"/>
    </row>
    <row r="224" spans="1:4" x14ac:dyDescent="0.25">
      <c r="A224" s="4"/>
      <c r="B224" s="4"/>
      <c r="D224" s="122"/>
    </row>
    <row r="225" spans="1:4" x14ac:dyDescent="0.25">
      <c r="A225" s="4"/>
      <c r="B225" s="4"/>
      <c r="D225" s="122"/>
    </row>
    <row r="226" spans="1:4" x14ac:dyDescent="0.25">
      <c r="A226" s="4"/>
      <c r="B226" s="4"/>
      <c r="D226" s="122"/>
    </row>
    <row r="227" spans="1:4" x14ac:dyDescent="0.25">
      <c r="A227" s="4"/>
      <c r="B227" s="4"/>
      <c r="D227" s="122"/>
    </row>
    <row r="228" spans="1:4" x14ac:dyDescent="0.25">
      <c r="A228" s="4"/>
      <c r="B228" s="4"/>
      <c r="D228" s="122"/>
    </row>
    <row r="229" spans="1:4" x14ac:dyDescent="0.25">
      <c r="A229" s="4"/>
      <c r="B229" s="4"/>
      <c r="D229" s="122"/>
    </row>
    <row r="230" spans="1:4" x14ac:dyDescent="0.25">
      <c r="A230" s="4"/>
      <c r="B230" s="4"/>
      <c r="D230" s="122"/>
    </row>
    <row r="231" spans="1:4" x14ac:dyDescent="0.25">
      <c r="A231" s="4"/>
      <c r="B231" s="4"/>
      <c r="D231" s="122"/>
    </row>
    <row r="232" spans="1:4" x14ac:dyDescent="0.25">
      <c r="A232" s="4"/>
      <c r="B232" s="4"/>
      <c r="D232" s="122"/>
    </row>
    <row r="233" spans="1:4" x14ac:dyDescent="0.25">
      <c r="A233" s="4"/>
      <c r="B233" s="4"/>
      <c r="D233" s="122"/>
    </row>
    <row r="234" spans="1:4" x14ac:dyDescent="0.25">
      <c r="A234" s="4"/>
      <c r="B234" s="4"/>
      <c r="D234" s="122"/>
    </row>
    <row r="235" spans="1:4" x14ac:dyDescent="0.25">
      <c r="A235" s="4"/>
      <c r="B235" s="4"/>
      <c r="D235" s="122"/>
    </row>
    <row r="236" spans="1:4" x14ac:dyDescent="0.25">
      <c r="A236" s="4"/>
      <c r="B236" s="4"/>
      <c r="D236" s="122"/>
    </row>
    <row r="237" spans="1:4" x14ac:dyDescent="0.25">
      <c r="A237" s="4"/>
      <c r="B237" s="4"/>
      <c r="D237" s="122"/>
    </row>
    <row r="238" spans="1:4" x14ac:dyDescent="0.25">
      <c r="A238" s="4"/>
      <c r="B238" s="4"/>
      <c r="D238" s="122"/>
    </row>
    <row r="239" spans="1:4" x14ac:dyDescent="0.25">
      <c r="A239" s="4"/>
      <c r="B239" s="4"/>
      <c r="D239" s="122"/>
    </row>
    <row r="240" spans="1:4" x14ac:dyDescent="0.25">
      <c r="A240" s="4"/>
      <c r="B240" s="4"/>
      <c r="D240" s="122"/>
    </row>
    <row r="241" spans="1:4" x14ac:dyDescent="0.25">
      <c r="A241" s="4"/>
      <c r="B241" s="4"/>
      <c r="D241" s="122"/>
    </row>
    <row r="242" spans="1:4" x14ac:dyDescent="0.25">
      <c r="A242" s="4"/>
      <c r="B242" s="4"/>
      <c r="D242" s="122"/>
    </row>
    <row r="243" spans="1:4" x14ac:dyDescent="0.25">
      <c r="A243" s="4"/>
      <c r="B243" s="4"/>
      <c r="D243" s="122"/>
    </row>
    <row r="244" spans="1:4" x14ac:dyDescent="0.25">
      <c r="A244" s="4"/>
      <c r="B244" s="4"/>
      <c r="D244" s="122"/>
    </row>
    <row r="245" spans="1:4" x14ac:dyDescent="0.25">
      <c r="A245" s="4"/>
      <c r="B245" s="4"/>
      <c r="D245" s="122"/>
    </row>
    <row r="246" spans="1:4" x14ac:dyDescent="0.25">
      <c r="A246" s="4"/>
      <c r="B246" s="4"/>
      <c r="D246" s="122"/>
    </row>
    <row r="247" spans="1:4" x14ac:dyDescent="0.25">
      <c r="A247" s="4"/>
      <c r="B247" s="4"/>
      <c r="D247" s="122"/>
    </row>
    <row r="248" spans="1:4" x14ac:dyDescent="0.25">
      <c r="A248" s="4"/>
      <c r="B248" s="4"/>
      <c r="D248" s="122"/>
    </row>
    <row r="249" spans="1:4" x14ac:dyDescent="0.25">
      <c r="A249" s="4"/>
      <c r="B249" s="4"/>
      <c r="D249" s="122"/>
    </row>
    <row r="250" spans="1:4" x14ac:dyDescent="0.25">
      <c r="A250" s="4"/>
      <c r="B250" s="4"/>
      <c r="D250" s="122"/>
    </row>
    <row r="251" spans="1:4" x14ac:dyDescent="0.25">
      <c r="A251" s="4"/>
      <c r="B251" s="4"/>
      <c r="D251" s="122"/>
    </row>
    <row r="252" spans="1:4" x14ac:dyDescent="0.25">
      <c r="A252" s="4"/>
      <c r="B252" s="4"/>
      <c r="D252" s="122"/>
    </row>
    <row r="253" spans="1:4" x14ac:dyDescent="0.25">
      <c r="A253" s="4"/>
      <c r="B253" s="4"/>
      <c r="D253" s="122"/>
    </row>
    <row r="254" spans="1:4" x14ac:dyDescent="0.25">
      <c r="A254" s="4"/>
      <c r="B254" s="4"/>
      <c r="D254" s="122"/>
    </row>
    <row r="255" spans="1:4" x14ac:dyDescent="0.25">
      <c r="A255" s="4"/>
      <c r="B255" s="4"/>
      <c r="D255" s="122"/>
    </row>
    <row r="256" spans="1:4" x14ac:dyDescent="0.25">
      <c r="A256" s="4"/>
      <c r="B256" s="4"/>
      <c r="D256" s="122"/>
    </row>
    <row r="257" spans="1:4" x14ac:dyDescent="0.25">
      <c r="A257" s="4"/>
      <c r="B257" s="4"/>
      <c r="D257" s="122"/>
    </row>
    <row r="258" spans="1:4" x14ac:dyDescent="0.25">
      <c r="A258" s="4"/>
      <c r="B258" s="4"/>
      <c r="D258" s="122"/>
    </row>
    <row r="259" spans="1:4" x14ac:dyDescent="0.25">
      <c r="A259" s="4"/>
      <c r="B259" s="4"/>
      <c r="D259" s="122"/>
    </row>
    <row r="260" spans="1:4" x14ac:dyDescent="0.25">
      <c r="A260" s="4"/>
      <c r="B260" s="4"/>
      <c r="D260" s="122"/>
    </row>
    <row r="261" spans="1:4" x14ac:dyDescent="0.25">
      <c r="A261" s="4"/>
      <c r="B261" s="4"/>
      <c r="D261" s="122"/>
    </row>
    <row r="262" spans="1:4" x14ac:dyDescent="0.25">
      <c r="A262" s="4"/>
      <c r="B262" s="4"/>
      <c r="D262" s="122"/>
    </row>
    <row r="263" spans="1:4" x14ac:dyDescent="0.25">
      <c r="A263" s="4"/>
      <c r="B263" s="4"/>
      <c r="D263" s="122"/>
    </row>
    <row r="264" spans="1:4" x14ac:dyDescent="0.25">
      <c r="A264" s="4"/>
      <c r="B264" s="4"/>
      <c r="D264" s="122"/>
    </row>
    <row r="265" spans="1:4" x14ac:dyDescent="0.25">
      <c r="A265" s="4"/>
      <c r="B265" s="4"/>
      <c r="D265" s="122"/>
    </row>
    <row r="266" spans="1:4" x14ac:dyDescent="0.25">
      <c r="A266" s="4"/>
      <c r="B266" s="4"/>
      <c r="D266" s="122"/>
    </row>
    <row r="267" spans="1:4" x14ac:dyDescent="0.25">
      <c r="A267" s="4"/>
      <c r="B267" s="4"/>
      <c r="D267" s="122"/>
    </row>
    <row r="268" spans="1:4" x14ac:dyDescent="0.25">
      <c r="A268" s="4"/>
      <c r="B268" s="4"/>
      <c r="D268" s="122"/>
    </row>
    <row r="269" spans="1:4" x14ac:dyDescent="0.25">
      <c r="A269" s="4"/>
      <c r="B269" s="4"/>
      <c r="D269" s="122"/>
    </row>
    <row r="270" spans="1:4" x14ac:dyDescent="0.25">
      <c r="A270" s="4"/>
      <c r="B270" s="4"/>
      <c r="D270" s="122"/>
    </row>
    <row r="271" spans="1:4" x14ac:dyDescent="0.25">
      <c r="A271" s="4"/>
      <c r="B271" s="4"/>
      <c r="D271" s="122"/>
    </row>
    <row r="272" spans="1:4" x14ac:dyDescent="0.25">
      <c r="A272" s="4"/>
      <c r="B272" s="4"/>
      <c r="D272" s="122"/>
    </row>
    <row r="273" spans="1:4" x14ac:dyDescent="0.25">
      <c r="A273" s="4"/>
      <c r="B273" s="4"/>
      <c r="D273" s="122"/>
    </row>
    <row r="274" spans="1:4" x14ac:dyDescent="0.25">
      <c r="A274" s="4"/>
      <c r="B274" s="4"/>
      <c r="D274" s="122"/>
    </row>
    <row r="275" spans="1:4" x14ac:dyDescent="0.25">
      <c r="A275" s="4"/>
      <c r="B275" s="4"/>
      <c r="D275" s="122"/>
    </row>
    <row r="276" spans="1:4" x14ac:dyDescent="0.25">
      <c r="A276" s="4"/>
      <c r="B276" s="4"/>
      <c r="D276" s="122"/>
    </row>
    <row r="277" spans="1:4" x14ac:dyDescent="0.25">
      <c r="A277" s="4"/>
      <c r="B277" s="4"/>
      <c r="D277" s="122"/>
    </row>
    <row r="278" spans="1:4" x14ac:dyDescent="0.25">
      <c r="A278" s="4"/>
      <c r="B278" s="4"/>
      <c r="D278" s="122"/>
    </row>
    <row r="279" spans="1:4" x14ac:dyDescent="0.25">
      <c r="A279" s="4"/>
      <c r="B279" s="4"/>
      <c r="D279" s="122"/>
    </row>
    <row r="280" spans="1:4" x14ac:dyDescent="0.25">
      <c r="A280" s="4"/>
      <c r="B280" s="4"/>
      <c r="D280" s="122"/>
    </row>
    <row r="281" spans="1:4" x14ac:dyDescent="0.25">
      <c r="A281" s="4"/>
      <c r="B281" s="4"/>
      <c r="D281" s="122"/>
    </row>
    <row r="282" spans="1:4" x14ac:dyDescent="0.25">
      <c r="A282" s="4"/>
      <c r="B282" s="4"/>
      <c r="D282" s="122"/>
    </row>
    <row r="283" spans="1:4" x14ac:dyDescent="0.25">
      <c r="A283" s="4"/>
      <c r="B283" s="4"/>
      <c r="D283" s="122"/>
    </row>
    <row r="284" spans="1:4" x14ac:dyDescent="0.25">
      <c r="A284" s="4"/>
      <c r="B284" s="4"/>
      <c r="D284" s="122"/>
    </row>
    <row r="285" spans="1:4" x14ac:dyDescent="0.25">
      <c r="A285" s="4"/>
      <c r="B285" s="4"/>
      <c r="D285" s="122"/>
    </row>
    <row r="286" spans="1:4" x14ac:dyDescent="0.25">
      <c r="A286" s="4"/>
      <c r="B286" s="4"/>
      <c r="D286" s="122"/>
    </row>
    <row r="287" spans="1:4" x14ac:dyDescent="0.25">
      <c r="A287" s="4"/>
      <c r="B287" s="4"/>
      <c r="D287" s="122"/>
    </row>
    <row r="288" spans="1:4" x14ac:dyDescent="0.25">
      <c r="A288" s="4"/>
      <c r="B288" s="4"/>
      <c r="D288" s="122"/>
    </row>
    <row r="289" spans="1:4" x14ac:dyDescent="0.25">
      <c r="A289" s="4"/>
      <c r="B289" s="4"/>
      <c r="D289" s="122"/>
    </row>
    <row r="290" spans="1:4" x14ac:dyDescent="0.25">
      <c r="A290" s="4"/>
      <c r="B290" s="4"/>
      <c r="D290" s="122"/>
    </row>
    <row r="291" spans="1:4" x14ac:dyDescent="0.25">
      <c r="A291" s="4"/>
      <c r="B291" s="4"/>
      <c r="D291" s="122"/>
    </row>
    <row r="292" spans="1:4" x14ac:dyDescent="0.25">
      <c r="A292" s="4"/>
      <c r="B292" s="4"/>
      <c r="D292" s="122"/>
    </row>
    <row r="293" spans="1:4" x14ac:dyDescent="0.25">
      <c r="A293" s="4"/>
      <c r="B293" s="4"/>
      <c r="D293" s="122"/>
    </row>
    <row r="294" spans="1:4" x14ac:dyDescent="0.25">
      <c r="A294" s="4"/>
      <c r="B294" s="4"/>
      <c r="D294" s="122"/>
    </row>
    <row r="295" spans="1:4" x14ac:dyDescent="0.25">
      <c r="A295" s="4"/>
      <c r="B295" s="4"/>
      <c r="D295" s="122"/>
    </row>
    <row r="296" spans="1:4" x14ac:dyDescent="0.25">
      <c r="A296" s="4"/>
      <c r="B296" s="4"/>
      <c r="D296" s="122"/>
    </row>
    <row r="297" spans="1:4" x14ac:dyDescent="0.25">
      <c r="A297" s="4"/>
      <c r="B297" s="4"/>
      <c r="D297" s="122"/>
    </row>
    <row r="298" spans="1:4" x14ac:dyDescent="0.25">
      <c r="A298" s="4"/>
      <c r="B298" s="4"/>
      <c r="D298" s="122"/>
    </row>
    <row r="299" spans="1:4" x14ac:dyDescent="0.25">
      <c r="A299" s="4"/>
      <c r="B299" s="4"/>
      <c r="D299" s="122"/>
    </row>
    <row r="300" spans="1:4" x14ac:dyDescent="0.25">
      <c r="A300" s="4"/>
      <c r="B300" s="4"/>
      <c r="D300" s="122"/>
    </row>
    <row r="301" spans="1:4" x14ac:dyDescent="0.25">
      <c r="A301" s="4"/>
      <c r="B301" s="4"/>
      <c r="D301" s="122"/>
    </row>
    <row r="302" spans="1:4" x14ac:dyDescent="0.25">
      <c r="A302" s="4"/>
      <c r="B302" s="4"/>
      <c r="D302" s="122"/>
    </row>
    <row r="303" spans="1:4" x14ac:dyDescent="0.25">
      <c r="A303" s="4"/>
      <c r="B303" s="4"/>
      <c r="D303" s="122"/>
    </row>
    <row r="304" spans="1:4" x14ac:dyDescent="0.25">
      <c r="A304" s="4"/>
      <c r="B304" s="4"/>
      <c r="D304" s="122"/>
    </row>
    <row r="305" spans="1:4" x14ac:dyDescent="0.25">
      <c r="A305" s="4"/>
      <c r="B305" s="4"/>
      <c r="D305" s="122"/>
    </row>
    <row r="306" spans="1:4" x14ac:dyDescent="0.25">
      <c r="A306" s="4"/>
      <c r="B306" s="4"/>
      <c r="D306" s="122"/>
    </row>
    <row r="307" spans="1:4" x14ac:dyDescent="0.25">
      <c r="A307" s="4"/>
      <c r="B307" s="4"/>
      <c r="D307" s="122"/>
    </row>
    <row r="308" spans="1:4" x14ac:dyDescent="0.25">
      <c r="A308" s="4"/>
      <c r="B308" s="4"/>
      <c r="D308" s="122"/>
    </row>
    <row r="309" spans="1:4" x14ac:dyDescent="0.25">
      <c r="A309" s="4"/>
      <c r="B309" s="4"/>
      <c r="D309" s="122"/>
    </row>
    <row r="310" spans="1:4" x14ac:dyDescent="0.25">
      <c r="A310" s="4"/>
      <c r="B310" s="4"/>
      <c r="D310" s="122"/>
    </row>
    <row r="311" spans="1:4" x14ac:dyDescent="0.25">
      <c r="A311" s="4"/>
      <c r="B311" s="4"/>
      <c r="D311" s="122"/>
    </row>
    <row r="312" spans="1:4" x14ac:dyDescent="0.25">
      <c r="A312" s="4"/>
      <c r="B312" s="4"/>
      <c r="D312" s="122"/>
    </row>
    <row r="313" spans="1:4" x14ac:dyDescent="0.25">
      <c r="A313" s="4"/>
      <c r="B313" s="4"/>
      <c r="D313" s="122"/>
    </row>
    <row r="314" spans="1:4" x14ac:dyDescent="0.25">
      <c r="A314" s="4"/>
      <c r="B314" s="4"/>
      <c r="D314" s="122"/>
    </row>
    <row r="315" spans="1:4" x14ac:dyDescent="0.25">
      <c r="A315" s="4"/>
      <c r="B315" s="4"/>
      <c r="D315" s="122"/>
    </row>
    <row r="316" spans="1:4" x14ac:dyDescent="0.25">
      <c r="A316" s="4"/>
      <c r="B316" s="4"/>
      <c r="D316" s="122"/>
    </row>
    <row r="317" spans="1:4" x14ac:dyDescent="0.25">
      <c r="A317" s="4"/>
      <c r="B317" s="4"/>
      <c r="D317" s="122"/>
    </row>
    <row r="318" spans="1:4" x14ac:dyDescent="0.25">
      <c r="A318" s="4"/>
      <c r="B318" s="4"/>
      <c r="D318" s="122"/>
    </row>
    <row r="319" spans="1:4" x14ac:dyDescent="0.25">
      <c r="A319" s="4"/>
      <c r="B319" s="4"/>
      <c r="D319" s="122"/>
    </row>
    <row r="320" spans="1:4" x14ac:dyDescent="0.25">
      <c r="A320" s="4"/>
      <c r="B320" s="4"/>
      <c r="D320" s="122"/>
    </row>
    <row r="321" spans="1:4" x14ac:dyDescent="0.25">
      <c r="A321" s="4"/>
      <c r="B321" s="4"/>
      <c r="D321" s="122"/>
    </row>
    <row r="322" spans="1:4" x14ac:dyDescent="0.25">
      <c r="A322" s="4"/>
      <c r="B322" s="4"/>
      <c r="D322" s="122"/>
    </row>
    <row r="323" spans="1:4" x14ac:dyDescent="0.25">
      <c r="A323" s="4"/>
      <c r="D323" s="122"/>
    </row>
    <row r="324" spans="1:4" x14ac:dyDescent="0.25">
      <c r="A324" s="4"/>
      <c r="D324" s="122"/>
    </row>
    <row r="325" spans="1:4" x14ac:dyDescent="0.25">
      <c r="A325" s="4"/>
      <c r="D325" s="122"/>
    </row>
    <row r="326" spans="1:4" x14ac:dyDescent="0.25">
      <c r="A326" s="4"/>
      <c r="D326" s="122"/>
    </row>
    <row r="327" spans="1:4" x14ac:dyDescent="0.25">
      <c r="A327" s="4"/>
      <c r="D327" s="122"/>
    </row>
    <row r="328" spans="1:4" x14ac:dyDescent="0.25">
      <c r="A328" s="4"/>
      <c r="D328" s="122"/>
    </row>
    <row r="329" spans="1:4" x14ac:dyDescent="0.25">
      <c r="A329" s="4"/>
      <c r="D329" s="122"/>
    </row>
    <row r="330" spans="1:4" x14ac:dyDescent="0.25">
      <c r="A330" s="4"/>
      <c r="D330" s="122"/>
    </row>
    <row r="331" spans="1:4" x14ac:dyDescent="0.25">
      <c r="A331" s="4"/>
      <c r="D331" s="122"/>
    </row>
    <row r="332" spans="1:4" x14ac:dyDescent="0.25">
      <c r="A332" s="4"/>
      <c r="D332" s="122"/>
    </row>
    <row r="333" spans="1:4" x14ac:dyDescent="0.25">
      <c r="A333" s="4"/>
      <c r="D333" s="122"/>
    </row>
    <row r="334" spans="1:4" x14ac:dyDescent="0.25">
      <c r="A334" s="4"/>
      <c r="D334" s="122"/>
    </row>
    <row r="335" spans="1:4" x14ac:dyDescent="0.25">
      <c r="A335" s="4"/>
      <c r="D335" s="122"/>
    </row>
    <row r="336" spans="1:4" x14ac:dyDescent="0.25">
      <c r="A336" s="4"/>
      <c r="D336" s="122"/>
    </row>
    <row r="337" spans="1:4" x14ac:dyDescent="0.25">
      <c r="A337" s="4"/>
      <c r="D337" s="122"/>
    </row>
    <row r="338" spans="1:4" x14ac:dyDescent="0.25">
      <c r="A338" s="4"/>
      <c r="D338" s="122"/>
    </row>
    <row r="339" spans="1:4" x14ac:dyDescent="0.25">
      <c r="A339" s="4"/>
      <c r="D339" s="122"/>
    </row>
    <row r="340" spans="1:4" x14ac:dyDescent="0.25">
      <c r="A340" s="4"/>
      <c r="D340" s="122"/>
    </row>
    <row r="341" spans="1:4" x14ac:dyDescent="0.25">
      <c r="A341" s="4"/>
      <c r="D341" s="122"/>
    </row>
    <row r="342" spans="1:4" x14ac:dyDescent="0.25">
      <c r="A342" s="4"/>
      <c r="D342" s="122"/>
    </row>
    <row r="343" spans="1:4" x14ac:dyDescent="0.25">
      <c r="A343" s="4"/>
      <c r="D343" s="122"/>
    </row>
    <row r="344" spans="1:4" x14ac:dyDescent="0.25">
      <c r="A344" s="4"/>
      <c r="D344" s="122"/>
    </row>
    <row r="345" spans="1:4" x14ac:dyDescent="0.25">
      <c r="A345" s="4"/>
      <c r="D345" s="122"/>
    </row>
    <row r="346" spans="1:4" x14ac:dyDescent="0.25">
      <c r="A346" s="4"/>
      <c r="D346" s="122"/>
    </row>
    <row r="347" spans="1:4" x14ac:dyDescent="0.25">
      <c r="A347" s="4"/>
      <c r="D347" s="122"/>
    </row>
    <row r="348" spans="1:4" x14ac:dyDescent="0.25">
      <c r="A348" s="4"/>
      <c r="D348" s="122"/>
    </row>
    <row r="349" spans="1:4" x14ac:dyDescent="0.25">
      <c r="A349" s="4"/>
      <c r="D349" s="122"/>
    </row>
    <row r="350" spans="1:4" x14ac:dyDescent="0.25">
      <c r="A350" s="4"/>
      <c r="D350" s="122"/>
    </row>
    <row r="351" spans="1:4" x14ac:dyDescent="0.25">
      <c r="A351" s="4"/>
      <c r="D351" s="122"/>
    </row>
    <row r="352" spans="1:4" x14ac:dyDescent="0.25">
      <c r="A352" s="4"/>
      <c r="D352" s="122"/>
    </row>
    <row r="353" spans="1:4" x14ac:dyDescent="0.25">
      <c r="A353" s="4"/>
      <c r="D353" s="122"/>
    </row>
    <row r="354" spans="1:4" x14ac:dyDescent="0.25">
      <c r="A354" s="4"/>
      <c r="D354" s="122"/>
    </row>
    <row r="355" spans="1:4" x14ac:dyDescent="0.25">
      <c r="A355" s="4"/>
      <c r="D355" s="122"/>
    </row>
    <row r="356" spans="1:4" x14ac:dyDescent="0.25">
      <c r="A356" s="4"/>
      <c r="D356" s="122"/>
    </row>
    <row r="357" spans="1:4" x14ac:dyDescent="0.25">
      <c r="A357" s="4"/>
      <c r="D357" s="122"/>
    </row>
    <row r="358" spans="1:4" x14ac:dyDescent="0.25">
      <c r="A358" s="4"/>
      <c r="D358" s="122"/>
    </row>
    <row r="359" spans="1:4" x14ac:dyDescent="0.25">
      <c r="A359" s="4"/>
      <c r="D359" s="122"/>
    </row>
    <row r="360" spans="1:4" x14ac:dyDescent="0.25">
      <c r="A360" s="4"/>
      <c r="D360" s="122"/>
    </row>
    <row r="361" spans="1:4" x14ac:dyDescent="0.25">
      <c r="A361" s="4"/>
      <c r="D361" s="122"/>
    </row>
    <row r="362" spans="1:4" x14ac:dyDescent="0.25">
      <c r="A362" s="4"/>
      <c r="D362" s="122"/>
    </row>
    <row r="363" spans="1:4" x14ac:dyDescent="0.25">
      <c r="A363" s="4"/>
      <c r="D363" s="122"/>
    </row>
    <row r="364" spans="1:4" x14ac:dyDescent="0.25">
      <c r="A364" s="4"/>
      <c r="D364" s="122"/>
    </row>
    <row r="365" spans="1:4" x14ac:dyDescent="0.25">
      <c r="A365" s="4"/>
      <c r="D365" s="122"/>
    </row>
    <row r="366" spans="1:4" x14ac:dyDescent="0.25">
      <c r="A366" s="4"/>
      <c r="D366" s="122"/>
    </row>
    <row r="367" spans="1:4" x14ac:dyDescent="0.25">
      <c r="A367" s="4"/>
      <c r="D367" s="122"/>
    </row>
    <row r="368" spans="1:4" x14ac:dyDescent="0.25">
      <c r="A368" s="4"/>
      <c r="D368" s="122"/>
    </row>
    <row r="369" spans="1:4" x14ac:dyDescent="0.25">
      <c r="A369" s="4"/>
      <c r="D369" s="122"/>
    </row>
    <row r="370" spans="1:4" x14ac:dyDescent="0.25">
      <c r="A370" s="4"/>
      <c r="D370" s="122"/>
    </row>
    <row r="371" spans="1:4" x14ac:dyDescent="0.25">
      <c r="A371" s="4"/>
      <c r="D371" s="122"/>
    </row>
    <row r="372" spans="1:4" x14ac:dyDescent="0.25">
      <c r="A372" s="4"/>
      <c r="D372" s="122"/>
    </row>
    <row r="373" spans="1:4" x14ac:dyDescent="0.25">
      <c r="A373" s="4"/>
      <c r="D373" s="122"/>
    </row>
    <row r="374" spans="1:4" x14ac:dyDescent="0.25">
      <c r="A374" s="4"/>
      <c r="D374" s="122"/>
    </row>
    <row r="375" spans="1:4" x14ac:dyDescent="0.25">
      <c r="A375" s="4"/>
      <c r="D375" s="122"/>
    </row>
    <row r="376" spans="1:4" x14ac:dyDescent="0.25">
      <c r="A376" s="4"/>
      <c r="D376" s="122"/>
    </row>
    <row r="377" spans="1:4" x14ac:dyDescent="0.25">
      <c r="A377" s="4"/>
      <c r="D377" s="122"/>
    </row>
    <row r="378" spans="1:4" x14ac:dyDescent="0.25">
      <c r="A378" s="4"/>
      <c r="D378" s="122"/>
    </row>
    <row r="379" spans="1:4" x14ac:dyDescent="0.25">
      <c r="A379" s="4"/>
      <c r="D379" s="122"/>
    </row>
    <row r="380" spans="1:4" x14ac:dyDescent="0.25">
      <c r="A380" s="4"/>
      <c r="D380" s="122"/>
    </row>
    <row r="381" spans="1:4" x14ac:dyDescent="0.25">
      <c r="A381" s="4"/>
      <c r="D381" s="122"/>
    </row>
    <row r="382" spans="1:4" x14ac:dyDescent="0.25">
      <c r="A382" s="4"/>
      <c r="D382" s="122"/>
    </row>
    <row r="383" spans="1:4" x14ac:dyDescent="0.25">
      <c r="A383" s="4"/>
      <c r="D383" s="122"/>
    </row>
    <row r="384" spans="1:4" x14ac:dyDescent="0.25">
      <c r="A384" s="4"/>
      <c r="D384" s="122"/>
    </row>
    <row r="385" spans="1:4" x14ac:dyDescent="0.25">
      <c r="A385" s="4"/>
      <c r="D385" s="122"/>
    </row>
    <row r="386" spans="1:4" x14ac:dyDescent="0.25">
      <c r="A386" s="4"/>
      <c r="D386" s="122"/>
    </row>
    <row r="387" spans="1:4" x14ac:dyDescent="0.25">
      <c r="A387" s="4"/>
      <c r="D387" s="122"/>
    </row>
    <row r="388" spans="1:4" x14ac:dyDescent="0.25">
      <c r="A388" s="4"/>
      <c r="D388" s="122"/>
    </row>
    <row r="389" spans="1:4" x14ac:dyDescent="0.25">
      <c r="A389" s="4"/>
      <c r="D389" s="122"/>
    </row>
    <row r="390" spans="1:4" x14ac:dyDescent="0.25">
      <c r="A390" s="4"/>
      <c r="D390" s="122"/>
    </row>
    <row r="391" spans="1:4" x14ac:dyDescent="0.25">
      <c r="A391" s="4"/>
      <c r="D391" s="122"/>
    </row>
    <row r="392" spans="1:4" x14ac:dyDescent="0.25">
      <c r="A392" s="4"/>
      <c r="D392" s="122"/>
    </row>
    <row r="393" spans="1:4" x14ac:dyDescent="0.25">
      <c r="A393" s="4"/>
      <c r="D393" s="122"/>
    </row>
    <row r="394" spans="1:4" x14ac:dyDescent="0.25">
      <c r="A394" s="4"/>
      <c r="D394" s="122"/>
    </row>
    <row r="395" spans="1:4" x14ac:dyDescent="0.25">
      <c r="A395" s="4"/>
      <c r="D395" s="122"/>
    </row>
    <row r="396" spans="1:4" x14ac:dyDescent="0.25">
      <c r="A396" s="4"/>
      <c r="D396" s="122"/>
    </row>
    <row r="397" spans="1:4" x14ac:dyDescent="0.25">
      <c r="A397" s="4"/>
      <c r="D397" s="122"/>
    </row>
    <row r="398" spans="1:4" x14ac:dyDescent="0.25">
      <c r="A398" s="4"/>
      <c r="D398" s="122"/>
    </row>
    <row r="399" spans="1:4" x14ac:dyDescent="0.25">
      <c r="A399" s="4"/>
      <c r="D399" s="122"/>
    </row>
    <row r="400" spans="1:4" x14ac:dyDescent="0.25">
      <c r="A400" s="4"/>
      <c r="D400" s="122"/>
    </row>
    <row r="401" spans="1:4" x14ac:dyDescent="0.25">
      <c r="A401" s="4"/>
      <c r="D401" s="122"/>
    </row>
    <row r="402" spans="1:4" x14ac:dyDescent="0.25">
      <c r="A402" s="4"/>
      <c r="D402" s="122"/>
    </row>
    <row r="403" spans="1:4" x14ac:dyDescent="0.25">
      <c r="A403" s="4"/>
      <c r="D403" s="122"/>
    </row>
    <row r="404" spans="1:4" x14ac:dyDescent="0.25">
      <c r="A404" s="4"/>
      <c r="D404" s="122"/>
    </row>
    <row r="405" spans="1:4" x14ac:dyDescent="0.25">
      <c r="A405" s="4"/>
      <c r="D405" s="122"/>
    </row>
    <row r="406" spans="1:4" x14ac:dyDescent="0.25">
      <c r="A406" s="4"/>
      <c r="D406" s="122"/>
    </row>
    <row r="407" spans="1:4" x14ac:dyDescent="0.25">
      <c r="A407" s="4"/>
      <c r="D407" s="122"/>
    </row>
    <row r="408" spans="1:4" x14ac:dyDescent="0.25">
      <c r="A408" s="4"/>
      <c r="D408" s="122"/>
    </row>
    <row r="409" spans="1:4" x14ac:dyDescent="0.25">
      <c r="A409" s="4"/>
      <c r="D409" s="122"/>
    </row>
    <row r="410" spans="1:4" x14ac:dyDescent="0.25">
      <c r="A410" s="4"/>
      <c r="D410" s="122"/>
    </row>
    <row r="411" spans="1:4" x14ac:dyDescent="0.25">
      <c r="A411" s="4"/>
      <c r="D411" s="122"/>
    </row>
    <row r="412" spans="1:4" x14ac:dyDescent="0.25">
      <c r="A412" s="4"/>
      <c r="D412" s="122"/>
    </row>
    <row r="413" spans="1:4" x14ac:dyDescent="0.25">
      <c r="A413" s="4"/>
      <c r="D413" s="122"/>
    </row>
    <row r="414" spans="1:4" x14ac:dyDescent="0.25">
      <c r="A414" s="4"/>
      <c r="D414" s="122"/>
    </row>
    <row r="415" spans="1:4" x14ac:dyDescent="0.25">
      <c r="A415" s="4"/>
      <c r="D415" s="122"/>
    </row>
    <row r="416" spans="1:4" x14ac:dyDescent="0.25">
      <c r="A416" s="4"/>
      <c r="D416" s="122"/>
    </row>
    <row r="417" spans="1:4" x14ac:dyDescent="0.25">
      <c r="A417" s="4"/>
      <c r="D417" s="122"/>
    </row>
    <row r="418" spans="1:4" x14ac:dyDescent="0.25">
      <c r="A418" s="4"/>
      <c r="D418" s="122"/>
    </row>
    <row r="419" spans="1:4" x14ac:dyDescent="0.25">
      <c r="A419" s="4"/>
      <c r="D419" s="122"/>
    </row>
    <row r="420" spans="1:4" x14ac:dyDescent="0.25">
      <c r="A420" s="4"/>
      <c r="D420" s="122"/>
    </row>
    <row r="421" spans="1:4" x14ac:dyDescent="0.25">
      <c r="A421" s="4"/>
      <c r="D421" s="122"/>
    </row>
    <row r="422" spans="1:4" x14ac:dyDescent="0.25">
      <c r="A422" s="4"/>
      <c r="D422" s="122"/>
    </row>
    <row r="423" spans="1:4" x14ac:dyDescent="0.25">
      <c r="A423" s="4"/>
      <c r="D423" s="122"/>
    </row>
    <row r="424" spans="1:4" x14ac:dyDescent="0.25">
      <c r="A424" s="4"/>
      <c r="D424" s="122"/>
    </row>
    <row r="425" spans="1:4" x14ac:dyDescent="0.25">
      <c r="A425" s="4"/>
      <c r="D425" s="122"/>
    </row>
    <row r="426" spans="1:4" x14ac:dyDescent="0.25">
      <c r="A426" s="4"/>
      <c r="D426" s="122"/>
    </row>
    <row r="427" spans="1:4" x14ac:dyDescent="0.25">
      <c r="A427" s="4"/>
      <c r="D427" s="122"/>
    </row>
    <row r="428" spans="1:4" x14ac:dyDescent="0.25">
      <c r="A428" s="4"/>
      <c r="D428" s="122"/>
    </row>
    <row r="429" spans="1:4" x14ac:dyDescent="0.25">
      <c r="A429" s="4"/>
      <c r="D429" s="122"/>
    </row>
    <row r="430" spans="1:4" x14ac:dyDescent="0.25">
      <c r="A430" s="4"/>
      <c r="D430" s="122"/>
    </row>
    <row r="431" spans="1:4" x14ac:dyDescent="0.25">
      <c r="A431" s="4"/>
      <c r="D431" s="122"/>
    </row>
    <row r="432" spans="1:4" x14ac:dyDescent="0.25">
      <c r="A432" s="4"/>
      <c r="D432" s="122"/>
    </row>
    <row r="433" spans="1:4" x14ac:dyDescent="0.25">
      <c r="A433" s="4"/>
      <c r="D433" s="122"/>
    </row>
    <row r="434" spans="1:4" x14ac:dyDescent="0.25">
      <c r="A434" s="4"/>
      <c r="D434" s="122"/>
    </row>
    <row r="435" spans="1:4" x14ac:dyDescent="0.25">
      <c r="A435" s="4"/>
      <c r="D435" s="122"/>
    </row>
    <row r="436" spans="1:4" x14ac:dyDescent="0.25">
      <c r="A436" s="4"/>
      <c r="D436" s="122"/>
    </row>
    <row r="437" spans="1:4" x14ac:dyDescent="0.25">
      <c r="A437" s="4"/>
      <c r="D437" s="122"/>
    </row>
    <row r="438" spans="1:4" x14ac:dyDescent="0.25">
      <c r="A438" s="4"/>
      <c r="D438" s="122"/>
    </row>
    <row r="439" spans="1:4" x14ac:dyDescent="0.25">
      <c r="A439" s="4"/>
      <c r="D439" s="122"/>
    </row>
    <row r="440" spans="1:4" x14ac:dyDescent="0.25">
      <c r="A440" s="4"/>
      <c r="D440" s="122"/>
    </row>
    <row r="441" spans="1:4" x14ac:dyDescent="0.25">
      <c r="A441" s="4"/>
      <c r="D441" s="122"/>
    </row>
    <row r="442" spans="1:4" x14ac:dyDescent="0.25">
      <c r="A442" s="4"/>
      <c r="D442" s="122"/>
    </row>
    <row r="443" spans="1:4" x14ac:dyDescent="0.25">
      <c r="A443" s="4"/>
      <c r="D443" s="122"/>
    </row>
    <row r="444" spans="1:4" x14ac:dyDescent="0.25">
      <c r="A444" s="4"/>
      <c r="D444" s="122"/>
    </row>
    <row r="445" spans="1:4" x14ac:dyDescent="0.25">
      <c r="A445" s="4"/>
      <c r="D445" s="122"/>
    </row>
    <row r="446" spans="1:4" x14ac:dyDescent="0.25">
      <c r="A446" s="4"/>
      <c r="D446" s="122"/>
    </row>
    <row r="447" spans="1:4" x14ac:dyDescent="0.25">
      <c r="A447" s="4"/>
      <c r="D447" s="122"/>
    </row>
    <row r="448" spans="1:4" x14ac:dyDescent="0.25">
      <c r="A448" s="4"/>
      <c r="D448" s="122"/>
    </row>
    <row r="449" spans="1:4" x14ac:dyDescent="0.25">
      <c r="A449" s="4"/>
      <c r="D449" s="122"/>
    </row>
    <row r="450" spans="1:4" x14ac:dyDescent="0.25">
      <c r="A450" s="4"/>
      <c r="D450" s="122"/>
    </row>
    <row r="451" spans="1:4" x14ac:dyDescent="0.25">
      <c r="A451" s="4"/>
      <c r="D451" s="122"/>
    </row>
    <row r="452" spans="1:4" x14ac:dyDescent="0.25">
      <c r="A452" s="4"/>
      <c r="D452" s="122"/>
    </row>
    <row r="453" spans="1:4" x14ac:dyDescent="0.25">
      <c r="A453" s="4"/>
      <c r="D453" s="122"/>
    </row>
    <row r="454" spans="1:4" x14ac:dyDescent="0.25">
      <c r="A454" s="4"/>
      <c r="D454" s="122"/>
    </row>
    <row r="455" spans="1:4" x14ac:dyDescent="0.25">
      <c r="A455" s="4"/>
      <c r="D455" s="122"/>
    </row>
    <row r="456" spans="1:4" x14ac:dyDescent="0.25">
      <c r="A456" s="4"/>
      <c r="D456" s="122"/>
    </row>
    <row r="457" spans="1:4" x14ac:dyDescent="0.25">
      <c r="A457" s="4"/>
      <c r="D457" s="122"/>
    </row>
    <row r="458" spans="1:4" x14ac:dyDescent="0.25">
      <c r="A458" s="4"/>
      <c r="D458" s="122"/>
    </row>
    <row r="459" spans="1:4" x14ac:dyDescent="0.25">
      <c r="A459" s="4"/>
      <c r="D459" s="122"/>
    </row>
    <row r="460" spans="1:4" x14ac:dyDescent="0.25">
      <c r="A460" s="4"/>
      <c r="D460" s="122"/>
    </row>
    <row r="461" spans="1:4" x14ac:dyDescent="0.25">
      <c r="A461" s="4"/>
      <c r="D461" s="122"/>
    </row>
    <row r="462" spans="1:4" x14ac:dyDescent="0.25">
      <c r="A462" s="4"/>
      <c r="D462" s="122"/>
    </row>
    <row r="463" spans="1:4" x14ac:dyDescent="0.25">
      <c r="A463" s="4"/>
      <c r="D463" s="122"/>
    </row>
    <row r="464" spans="1:4" x14ac:dyDescent="0.25">
      <c r="A464" s="4"/>
      <c r="D464" s="122"/>
    </row>
    <row r="465" spans="1:4" x14ac:dyDescent="0.25">
      <c r="A465" s="4"/>
      <c r="D465" s="122"/>
    </row>
    <row r="466" spans="1:4" x14ac:dyDescent="0.25">
      <c r="A466" s="4"/>
      <c r="D466" s="122"/>
    </row>
    <row r="467" spans="1:4" x14ac:dyDescent="0.25">
      <c r="A467" s="4"/>
      <c r="D467" s="122"/>
    </row>
    <row r="468" spans="1:4" x14ac:dyDescent="0.25">
      <c r="A468" s="4"/>
      <c r="D468" s="122"/>
    </row>
    <row r="469" spans="1:4" x14ac:dyDescent="0.25">
      <c r="A469" s="4"/>
      <c r="D469" s="122"/>
    </row>
    <row r="470" spans="1:4" x14ac:dyDescent="0.25">
      <c r="A470" s="4"/>
      <c r="D470" s="122"/>
    </row>
    <row r="471" spans="1:4" x14ac:dyDescent="0.25">
      <c r="A471" s="4"/>
      <c r="D471" s="122"/>
    </row>
    <row r="472" spans="1:4" x14ac:dyDescent="0.25">
      <c r="A472" s="4"/>
      <c r="D472" s="122"/>
    </row>
    <row r="473" spans="1:4" x14ac:dyDescent="0.25">
      <c r="A473" s="4"/>
      <c r="D473" s="122"/>
    </row>
    <row r="474" spans="1:4" x14ac:dyDescent="0.25">
      <c r="A474" s="4"/>
      <c r="D474" s="122"/>
    </row>
    <row r="475" spans="1:4" x14ac:dyDescent="0.25">
      <c r="A475" s="4"/>
      <c r="D475" s="122"/>
    </row>
    <row r="476" spans="1:4" x14ac:dyDescent="0.25">
      <c r="A476" s="4"/>
      <c r="D476" s="122"/>
    </row>
    <row r="477" spans="1:4" x14ac:dyDescent="0.25">
      <c r="A477" s="4"/>
      <c r="D477" s="122"/>
    </row>
    <row r="478" spans="1:4" x14ac:dyDescent="0.25">
      <c r="A478" s="4"/>
      <c r="D478" s="122"/>
    </row>
    <row r="479" spans="1:4" x14ac:dyDescent="0.25">
      <c r="A479" s="4"/>
      <c r="D479" s="122"/>
    </row>
    <row r="480" spans="1:4" x14ac:dyDescent="0.25">
      <c r="A480" s="4"/>
      <c r="D480" s="122"/>
    </row>
    <row r="481" spans="1:4" x14ac:dyDescent="0.25">
      <c r="A481" s="4"/>
      <c r="D481" s="122"/>
    </row>
    <row r="482" spans="1:4" x14ac:dyDescent="0.25">
      <c r="A482" s="4"/>
      <c r="D482" s="122"/>
    </row>
    <row r="483" spans="1:4" x14ac:dyDescent="0.25">
      <c r="A483" s="4"/>
      <c r="D483" s="122"/>
    </row>
    <row r="484" spans="1:4" x14ac:dyDescent="0.25">
      <c r="A484" s="4"/>
      <c r="D484" s="122"/>
    </row>
    <row r="485" spans="1:4" x14ac:dyDescent="0.25">
      <c r="A485" s="4"/>
      <c r="D485" s="122"/>
    </row>
    <row r="486" spans="1:4" x14ac:dyDescent="0.25">
      <c r="A486" s="4"/>
      <c r="D486" s="122"/>
    </row>
    <row r="487" spans="1:4" x14ac:dyDescent="0.25">
      <c r="A487" s="4"/>
      <c r="D487" s="122"/>
    </row>
    <row r="488" spans="1:4" x14ac:dyDescent="0.25">
      <c r="A488" s="4"/>
      <c r="D488" s="122"/>
    </row>
    <row r="489" spans="1:4" x14ac:dyDescent="0.25">
      <c r="A489" s="4"/>
      <c r="D489" s="122"/>
    </row>
    <row r="490" spans="1:4" x14ac:dyDescent="0.25">
      <c r="A490" s="4"/>
      <c r="D490" s="122"/>
    </row>
    <row r="491" spans="1:4" x14ac:dyDescent="0.25">
      <c r="A491" s="4"/>
      <c r="D491" s="122"/>
    </row>
    <row r="492" spans="1:4" x14ac:dyDescent="0.25">
      <c r="A492" s="4"/>
      <c r="D492" s="122"/>
    </row>
    <row r="493" spans="1:4" x14ac:dyDescent="0.25">
      <c r="A493" s="4"/>
      <c r="D493" s="122"/>
    </row>
    <row r="494" spans="1:4" x14ac:dyDescent="0.25">
      <c r="A494" s="4"/>
      <c r="D494" s="122"/>
    </row>
    <row r="495" spans="1:4" x14ac:dyDescent="0.25">
      <c r="A495" s="4"/>
      <c r="D495" s="122"/>
    </row>
    <row r="496" spans="1:4" x14ac:dyDescent="0.25">
      <c r="A496" s="4"/>
      <c r="D496" s="122"/>
    </row>
    <row r="497" spans="1:4" x14ac:dyDescent="0.25">
      <c r="A497" s="4"/>
      <c r="D497" s="122"/>
    </row>
    <row r="498" spans="1:4" x14ac:dyDescent="0.25">
      <c r="A498" s="4"/>
      <c r="D498" s="122"/>
    </row>
    <row r="499" spans="1:4" x14ac:dyDescent="0.25">
      <c r="A499" s="4"/>
      <c r="D499" s="122"/>
    </row>
    <row r="500" spans="1:4" x14ac:dyDescent="0.25">
      <c r="A500" s="4"/>
      <c r="D500" s="122"/>
    </row>
    <row r="501" spans="1:4" x14ac:dyDescent="0.25">
      <c r="A501" s="4"/>
      <c r="D501" s="122"/>
    </row>
    <row r="502" spans="1:4" x14ac:dyDescent="0.25">
      <c r="A502" s="4"/>
      <c r="D502" s="122"/>
    </row>
    <row r="503" spans="1:4" x14ac:dyDescent="0.25">
      <c r="A503" s="4"/>
      <c r="D503" s="122"/>
    </row>
    <row r="504" spans="1:4" x14ac:dyDescent="0.25">
      <c r="A504" s="4"/>
      <c r="D504" s="122"/>
    </row>
    <row r="505" spans="1:4" x14ac:dyDescent="0.25">
      <c r="A505" s="4"/>
      <c r="D505" s="122"/>
    </row>
    <row r="506" spans="1:4" x14ac:dyDescent="0.25">
      <c r="A506" s="4"/>
      <c r="D506" s="122"/>
    </row>
    <row r="507" spans="1:4" x14ac:dyDescent="0.25">
      <c r="A507" s="4"/>
      <c r="D507" s="122"/>
    </row>
    <row r="508" spans="1:4" x14ac:dyDescent="0.25">
      <c r="A508" s="4"/>
      <c r="D508" s="122"/>
    </row>
    <row r="509" spans="1:4" x14ac:dyDescent="0.25">
      <c r="A509" s="4"/>
      <c r="D509" s="122"/>
    </row>
    <row r="510" spans="1:4" x14ac:dyDescent="0.25">
      <c r="A510" s="4"/>
      <c r="D510" s="122"/>
    </row>
    <row r="511" spans="1:4" x14ac:dyDescent="0.25">
      <c r="A511" s="4"/>
      <c r="D511" s="122"/>
    </row>
    <row r="512" spans="1:4" x14ac:dyDescent="0.25">
      <c r="A512" s="4"/>
      <c r="D512" s="122"/>
    </row>
    <row r="513" spans="1:4" x14ac:dyDescent="0.25">
      <c r="A513" s="4"/>
      <c r="D513" s="122"/>
    </row>
    <row r="514" spans="1:4" x14ac:dyDescent="0.25">
      <c r="A514" s="4"/>
      <c r="D514" s="122"/>
    </row>
    <row r="515" spans="1:4" x14ac:dyDescent="0.25">
      <c r="A515" s="4"/>
      <c r="D515" s="122"/>
    </row>
    <row r="516" spans="1:4" x14ac:dyDescent="0.25">
      <c r="A516" s="4"/>
      <c r="D516" s="122"/>
    </row>
    <row r="517" spans="1:4" x14ac:dyDescent="0.25">
      <c r="A517" s="4"/>
      <c r="D517" s="122"/>
    </row>
    <row r="518" spans="1:4" x14ac:dyDescent="0.25">
      <c r="A518" s="4"/>
      <c r="D518" s="122"/>
    </row>
    <row r="519" spans="1:4" x14ac:dyDescent="0.25">
      <c r="A519" s="4"/>
      <c r="D519" s="122"/>
    </row>
    <row r="520" spans="1:4" x14ac:dyDescent="0.25">
      <c r="A520" s="4"/>
      <c r="D520" s="122"/>
    </row>
    <row r="521" spans="1:4" x14ac:dyDescent="0.25">
      <c r="A521" s="4"/>
      <c r="D521" s="122"/>
    </row>
    <row r="522" spans="1:4" x14ac:dyDescent="0.25">
      <c r="A522" s="4"/>
      <c r="D522" s="122"/>
    </row>
    <row r="523" spans="1:4" x14ac:dyDescent="0.25">
      <c r="A523" s="4"/>
      <c r="D523" s="122"/>
    </row>
    <row r="524" spans="1:4" x14ac:dyDescent="0.25">
      <c r="A524" s="4"/>
      <c r="D524" s="122"/>
    </row>
    <row r="525" spans="1:4" x14ac:dyDescent="0.25">
      <c r="A525" s="4"/>
      <c r="D525" s="122"/>
    </row>
    <row r="526" spans="1:4" x14ac:dyDescent="0.25">
      <c r="A526" s="4"/>
      <c r="D526" s="122"/>
    </row>
    <row r="527" spans="1:4" x14ac:dyDescent="0.25">
      <c r="A527" s="4"/>
      <c r="D527" s="122"/>
    </row>
    <row r="528" spans="1:4" x14ac:dyDescent="0.25">
      <c r="A528" s="4"/>
      <c r="D528" s="122"/>
    </row>
    <row r="529" spans="1:4" x14ac:dyDescent="0.25">
      <c r="A529" s="4"/>
      <c r="D529" s="122"/>
    </row>
    <row r="530" spans="1:4" x14ac:dyDescent="0.25">
      <c r="A530" s="4"/>
      <c r="D530" s="122"/>
    </row>
    <row r="531" spans="1:4" x14ac:dyDescent="0.25">
      <c r="A531" s="4"/>
      <c r="D531" s="122"/>
    </row>
    <row r="532" spans="1:4" x14ac:dyDescent="0.25">
      <c r="A532" s="4"/>
      <c r="D532" s="122"/>
    </row>
    <row r="533" spans="1:4" x14ac:dyDescent="0.25">
      <c r="A533" s="4"/>
      <c r="D533" s="122"/>
    </row>
    <row r="534" spans="1:4" x14ac:dyDescent="0.25">
      <c r="A534" s="4"/>
      <c r="D534" s="122"/>
    </row>
    <row r="535" spans="1:4" x14ac:dyDescent="0.25">
      <c r="A535" s="4"/>
      <c r="D535" s="122"/>
    </row>
    <row r="536" spans="1:4" x14ac:dyDescent="0.25">
      <c r="A536" s="4"/>
      <c r="D536" s="122"/>
    </row>
    <row r="537" spans="1:4" x14ac:dyDescent="0.25">
      <c r="A537" s="4"/>
      <c r="D537" s="122"/>
    </row>
    <row r="538" spans="1:4" x14ac:dyDescent="0.25">
      <c r="A538" s="4"/>
      <c r="D538" s="122"/>
    </row>
    <row r="539" spans="1:4" x14ac:dyDescent="0.25">
      <c r="A539" s="4"/>
      <c r="D539" s="122"/>
    </row>
    <row r="540" spans="1:4" x14ac:dyDescent="0.25">
      <c r="A540" s="4"/>
      <c r="D540" s="122"/>
    </row>
    <row r="541" spans="1:4" x14ac:dyDescent="0.25">
      <c r="A541" s="4"/>
      <c r="D541" s="122"/>
    </row>
    <row r="542" spans="1:4" x14ac:dyDescent="0.25">
      <c r="A542" s="4"/>
      <c r="D542" s="122"/>
    </row>
    <row r="543" spans="1:4" x14ac:dyDescent="0.25">
      <c r="A543" s="4"/>
      <c r="D543" s="122"/>
    </row>
    <row r="544" spans="1:4" x14ac:dyDescent="0.25">
      <c r="A544" s="4"/>
      <c r="D544" s="122"/>
    </row>
    <row r="545" spans="1:4" x14ac:dyDescent="0.25">
      <c r="A545" s="4"/>
      <c r="D545" s="122"/>
    </row>
    <row r="546" spans="1:4" x14ac:dyDescent="0.25">
      <c r="A546" s="4"/>
      <c r="D546" s="122"/>
    </row>
    <row r="547" spans="1:4" x14ac:dyDescent="0.25">
      <c r="A547" s="4"/>
      <c r="D547" s="122"/>
    </row>
    <row r="548" spans="1:4" x14ac:dyDescent="0.25">
      <c r="A548" s="4"/>
      <c r="D548" s="122"/>
    </row>
    <row r="549" spans="1:4" x14ac:dyDescent="0.25">
      <c r="A549" s="4"/>
      <c r="D549" s="122"/>
    </row>
    <row r="550" spans="1:4" x14ac:dyDescent="0.25">
      <c r="A550" s="4"/>
      <c r="D550" s="122"/>
    </row>
    <row r="551" spans="1:4" x14ac:dyDescent="0.25">
      <c r="A551" s="4"/>
      <c r="D551" s="122"/>
    </row>
    <row r="552" spans="1:4" x14ac:dyDescent="0.25">
      <c r="A552" s="4"/>
      <c r="D552" s="122"/>
    </row>
    <row r="553" spans="1:4" x14ac:dyDescent="0.25">
      <c r="A553" s="4"/>
      <c r="D553" s="122"/>
    </row>
    <row r="554" spans="1:4" x14ac:dyDescent="0.25">
      <c r="A554" s="4"/>
      <c r="D554" s="122"/>
    </row>
    <row r="555" spans="1:4" x14ac:dyDescent="0.25">
      <c r="A555" s="4"/>
      <c r="D555" s="122"/>
    </row>
    <row r="556" spans="1:4" x14ac:dyDescent="0.25">
      <c r="A556" s="4"/>
      <c r="D556" s="122"/>
    </row>
    <row r="557" spans="1:4" x14ac:dyDescent="0.25">
      <c r="A557" s="4"/>
      <c r="D557" s="122"/>
    </row>
    <row r="558" spans="1:4" x14ac:dyDescent="0.25">
      <c r="A558" s="4"/>
      <c r="D558" s="122"/>
    </row>
    <row r="559" spans="1:4" x14ac:dyDescent="0.25">
      <c r="A559" s="4"/>
      <c r="D559" s="122"/>
    </row>
    <row r="560" spans="1:4" x14ac:dyDescent="0.25">
      <c r="A560" s="4"/>
      <c r="D560" s="122"/>
    </row>
    <row r="561" spans="1:4" x14ac:dyDescent="0.25">
      <c r="A561" s="4"/>
      <c r="D561" s="122"/>
    </row>
    <row r="562" spans="1:4" x14ac:dyDescent="0.25">
      <c r="A562" s="4"/>
      <c r="D562" s="122"/>
    </row>
    <row r="563" spans="1:4" x14ac:dyDescent="0.25">
      <c r="A563" s="4"/>
      <c r="D563" s="122"/>
    </row>
    <row r="564" spans="1:4" x14ac:dyDescent="0.25">
      <c r="A564" s="4"/>
      <c r="D564" s="122"/>
    </row>
    <row r="565" spans="1:4" x14ac:dyDescent="0.25">
      <c r="A565" s="4"/>
      <c r="D565" s="122"/>
    </row>
    <row r="566" spans="1:4" x14ac:dyDescent="0.25">
      <c r="A566" s="4"/>
      <c r="D566" s="122"/>
    </row>
    <row r="567" spans="1:4" x14ac:dyDescent="0.25">
      <c r="A567" s="4"/>
      <c r="D567" s="122"/>
    </row>
    <row r="568" spans="1:4" x14ac:dyDescent="0.25">
      <c r="A568" s="4"/>
      <c r="D568" s="122"/>
    </row>
    <row r="569" spans="1:4" x14ac:dyDescent="0.25">
      <c r="A569" s="4"/>
      <c r="D569" s="122"/>
    </row>
    <row r="570" spans="1:4" x14ac:dyDescent="0.25">
      <c r="A570" s="4"/>
      <c r="D570" s="122"/>
    </row>
    <row r="571" spans="1:4" x14ac:dyDescent="0.25">
      <c r="A571" s="4"/>
      <c r="D571" s="122"/>
    </row>
    <row r="572" spans="1:4" x14ac:dyDescent="0.25">
      <c r="A572" s="4"/>
      <c r="D572" s="122"/>
    </row>
    <row r="573" spans="1:4" x14ac:dyDescent="0.25">
      <c r="A573" s="4"/>
      <c r="D573" s="122"/>
    </row>
    <row r="574" spans="1:4" x14ac:dyDescent="0.25">
      <c r="A574" s="4"/>
      <c r="D574" s="122"/>
    </row>
    <row r="575" spans="1:4" x14ac:dyDescent="0.25">
      <c r="A575" s="4"/>
      <c r="D575" s="122"/>
    </row>
    <row r="576" spans="1:4" x14ac:dyDescent="0.25">
      <c r="A576" s="4"/>
      <c r="D576" s="122"/>
    </row>
    <row r="577" spans="1:4" x14ac:dyDescent="0.25">
      <c r="A577" s="4"/>
      <c r="D577" s="122"/>
    </row>
    <row r="578" spans="1:4" x14ac:dyDescent="0.25">
      <c r="A578" s="4"/>
      <c r="D578" s="122"/>
    </row>
    <row r="579" spans="1:4" x14ac:dyDescent="0.25">
      <c r="A579" s="4"/>
      <c r="D579" s="122"/>
    </row>
    <row r="580" spans="1:4" x14ac:dyDescent="0.25">
      <c r="A580" s="4"/>
      <c r="D580" s="122"/>
    </row>
    <row r="581" spans="1:4" x14ac:dyDescent="0.25">
      <c r="A581" s="4"/>
      <c r="D581" s="122"/>
    </row>
    <row r="582" spans="1:4" x14ac:dyDescent="0.25">
      <c r="A582" s="4"/>
      <c r="D582" s="122"/>
    </row>
    <row r="583" spans="1:4" x14ac:dyDescent="0.25">
      <c r="A583" s="4"/>
      <c r="D583" s="122"/>
    </row>
    <row r="584" spans="1:4" x14ac:dyDescent="0.25">
      <c r="A584" s="4"/>
      <c r="D584" s="122"/>
    </row>
    <row r="585" spans="1:4" x14ac:dyDescent="0.25">
      <c r="A585" s="4"/>
      <c r="D585" s="122"/>
    </row>
    <row r="586" spans="1:4" x14ac:dyDescent="0.25">
      <c r="A586" s="4"/>
      <c r="D586" s="122"/>
    </row>
    <row r="587" spans="1:4" x14ac:dyDescent="0.25">
      <c r="A587" s="4"/>
      <c r="D587" s="122"/>
    </row>
    <row r="588" spans="1:4" x14ac:dyDescent="0.25">
      <c r="A588" s="4"/>
      <c r="D588" s="122"/>
    </row>
    <row r="589" spans="1:4" x14ac:dyDescent="0.25">
      <c r="A589" s="4"/>
      <c r="D589" s="122"/>
    </row>
    <row r="590" spans="1:4" x14ac:dyDescent="0.25">
      <c r="A590" s="4"/>
      <c r="D590" s="122"/>
    </row>
    <row r="591" spans="1:4" ht="15.75" thickBot="1" x14ac:dyDescent="0.3">
      <c r="A591" s="4"/>
      <c r="D591" s="123"/>
    </row>
    <row r="592" spans="1:4" x14ac:dyDescent="0.25">
      <c r="A592" s="4"/>
    </row>
    <row r="593" spans="1:1" x14ac:dyDescent="0.25">
      <c r="A593" s="4"/>
    </row>
    <row r="594" spans="1:1" x14ac:dyDescent="0.25">
      <c r="A594" s="4"/>
    </row>
    <row r="595" spans="1:1" x14ac:dyDescent="0.25">
      <c r="A595" s="4"/>
    </row>
  </sheetData>
  <mergeCells count="1">
    <mergeCell ref="B11:C13"/>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357"/>
  <sheetViews>
    <sheetView zoomScale="85" zoomScaleNormal="85" workbookViewId="0">
      <selection activeCell="B37" sqref="B37"/>
    </sheetView>
  </sheetViews>
  <sheetFormatPr defaultRowHeight="15" x14ac:dyDescent="0.25"/>
  <cols>
    <col min="1" max="1" width="28.85546875" style="84" customWidth="1"/>
    <col min="2" max="2" width="82.28515625" style="108" customWidth="1"/>
    <col min="3" max="3" width="41.140625" style="84" customWidth="1"/>
  </cols>
  <sheetData>
    <row r="1" spans="1:2" x14ac:dyDescent="0.25">
      <c r="A1" s="7"/>
      <c r="B1" s="7"/>
    </row>
    <row r="2" spans="1:2" x14ac:dyDescent="0.25">
      <c r="A2" s="92" t="s">
        <v>15</v>
      </c>
      <c r="B2" s="92" t="str">
        <f>main!B9</f>
        <v>EUR</v>
      </c>
    </row>
    <row r="3" spans="1:2" ht="15.75" thickBot="1" x14ac:dyDescent="0.3">
      <c r="A3" s="92" t="s">
        <v>18</v>
      </c>
      <c r="B3" s="92"/>
    </row>
    <row r="4" spans="1:2" x14ac:dyDescent="0.25">
      <c r="A4" s="87" t="s">
        <v>21</v>
      </c>
      <c r="B4" s="88">
        <f ca="1">main!B10</f>
        <v>43913</v>
      </c>
    </row>
    <row r="5" spans="1:2" x14ac:dyDescent="0.25">
      <c r="A5" s="85" t="s">
        <v>23</v>
      </c>
      <c r="B5" s="89">
        <f>data!V4</f>
        <v>43398</v>
      </c>
    </row>
    <row r="6" spans="1:2" x14ac:dyDescent="0.25">
      <c r="A6" s="85" t="s">
        <v>27</v>
      </c>
      <c r="B6" s="89">
        <f>data!V5</f>
        <v>43402</v>
      </c>
    </row>
    <row r="7" spans="1:2" ht="15.75" thickBot="1" x14ac:dyDescent="0.3">
      <c r="A7" s="90" t="s">
        <v>26</v>
      </c>
      <c r="B7" s="93">
        <f>data!V8</f>
        <v>44498</v>
      </c>
    </row>
    <row r="8" spans="1:2" ht="15.75" thickBot="1" x14ac:dyDescent="0.3">
      <c r="A8" s="86"/>
      <c r="B8" s="91"/>
    </row>
    <row r="9" spans="1:2" x14ac:dyDescent="0.25">
      <c r="A9" s="87" t="s">
        <v>598</v>
      </c>
      <c r="B9" s="94" t="str">
        <f>data!V10</f>
        <v>EURIRS</v>
      </c>
    </row>
    <row r="10" spans="1:2" x14ac:dyDescent="0.25">
      <c r="A10" s="85" t="s">
        <v>42</v>
      </c>
      <c r="B10" s="89" t="str">
        <f>data!V11</f>
        <v>EUR_AB6E</v>
      </c>
    </row>
    <row r="11" spans="1:2" x14ac:dyDescent="0.25">
      <c r="A11" s="85" t="s">
        <v>24</v>
      </c>
      <c r="B11" s="89" t="str">
        <f>data!V12</f>
        <v>3Y</v>
      </c>
    </row>
    <row r="12" spans="1:2" ht="30.75" thickBot="1" x14ac:dyDescent="0.3">
      <c r="A12" s="134" t="s">
        <v>42</v>
      </c>
      <c r="B12" s="133" t="str">
        <f>data!V13</f>
        <v>PAID:FIXED LBOTH SETTLE:2WD DMC:M EMC:S CFADJ:YES REFDATE:MATURITY CLDR:EMU PDELAY:0 LFIXED FRQ:1 CCM:BB00 LFLOAT FRQ:2 CCM:MMA0</v>
      </c>
    </row>
    <row r="13" spans="1:2" x14ac:dyDescent="0.25">
      <c r="B13" s="84"/>
    </row>
    <row r="14" spans="1:2" ht="15.75" thickBot="1" x14ac:dyDescent="0.3">
      <c r="B14"/>
    </row>
    <row r="15" spans="1:2" x14ac:dyDescent="0.25">
      <c r="A15" s="127" t="s">
        <v>829</v>
      </c>
      <c r="B15" s="128">
        <f>100</f>
        <v>100</v>
      </c>
    </row>
    <row r="16" spans="1:2" s="105" customFormat="1" x14ac:dyDescent="0.25">
      <c r="A16" s="129" t="s">
        <v>846</v>
      </c>
      <c r="B16" s="135" t="e">
        <f ca="1">DATEDIF(B4,data!U18,"D")/360</f>
        <v>#NUM!</v>
      </c>
    </row>
    <row r="17" spans="1:3" x14ac:dyDescent="0.25">
      <c r="A17" s="129" t="s">
        <v>38</v>
      </c>
      <c r="B17" s="130">
        <v>0</v>
      </c>
      <c r="C17" s="84" t="str">
        <f>IF(ISNUMBER(#REF!),"T" &amp; (ROW()-1) &amp; ":","")</f>
        <v/>
      </c>
    </row>
    <row r="18" spans="1:3" s="105" customFormat="1" x14ac:dyDescent="0.25">
      <c r="A18" s="129" t="s">
        <v>843</v>
      </c>
      <c r="B18" s="136" t="e">
        <f ca="1">DATEDIF(B4,data!U60,"d")/360</f>
        <v>#NUM!</v>
      </c>
    </row>
    <row r="19" spans="1:3" s="105" customFormat="1" x14ac:dyDescent="0.25">
      <c r="A19" s="145" t="s">
        <v>842</v>
      </c>
      <c r="B19" s="135">
        <f>data!U60</f>
        <v>43584</v>
      </c>
    </row>
    <row r="20" spans="1:3" s="105" customFormat="1" x14ac:dyDescent="0.25">
      <c r="A20" s="129" t="s">
        <v>841</v>
      </c>
      <c r="B20" s="130">
        <f>data!F8 + DATEDIF(data!D8,data!U60,"D")*(data!F9-data!F8)/DATEDIF(data!D8,data!D9,"D")</f>
        <v>1.0012778170769232</v>
      </c>
    </row>
    <row r="21" spans="1:3" s="105" customFormat="1" x14ac:dyDescent="0.25">
      <c r="A21" s="129" t="s">
        <v>850</v>
      </c>
      <c r="B21" s="130">
        <f>Rates!G7/100</f>
        <v>-3.1700000000000001E-3</v>
      </c>
    </row>
    <row r="22" spans="1:3" s="105" customFormat="1" ht="15.75" thickBot="1" x14ac:dyDescent="0.3">
      <c r="A22" s="160" t="s">
        <v>851</v>
      </c>
      <c r="B22" s="131">
        <f>Rates!B8/100</f>
        <v>3.0973000000000003E-4</v>
      </c>
    </row>
    <row r="23" spans="1:3" s="105" customFormat="1" ht="15.75" thickBot="1" x14ac:dyDescent="0.3">
      <c r="C23" s="7" t="s">
        <v>1001</v>
      </c>
    </row>
    <row r="24" spans="1:3" s="105" customFormat="1" x14ac:dyDescent="0.25">
      <c r="A24" s="127" t="s">
        <v>998</v>
      </c>
      <c r="B24" s="163">
        <f>B15*data!V18*IRS!B22</f>
        <v>3.0973000000000004E-2</v>
      </c>
      <c r="C24" s="165">
        <f>data!F10 + DATEDIF(data!D10,data!U18,"D")*(data!F11-data!F10)/DATEDIF(data!D10,data!D11,"D")</f>
        <v>1.0026929210769231</v>
      </c>
    </row>
    <row r="25" spans="1:3" x14ac:dyDescent="0.25">
      <c r="A25" s="129" t="s">
        <v>999</v>
      </c>
      <c r="B25" s="162">
        <f>B15*data!V19*IRS!B22</f>
        <v>3.0973000000000004E-2</v>
      </c>
      <c r="C25" s="166">
        <f>data!F14 + DATEDIF(data!D14,data!U19,"D")*(data!F15-data!F14)/DATEDIF(data!D14,data!D15,"D")</f>
        <v>1.0032852016153846</v>
      </c>
    </row>
    <row r="26" spans="1:3" ht="15.75" thickBot="1" x14ac:dyDescent="0.3">
      <c r="A26" s="160" t="s">
        <v>1000</v>
      </c>
      <c r="B26" s="164">
        <f>B15*data!V20*IRS!B22</f>
        <v>3.0973000000000004E-2</v>
      </c>
      <c r="C26" s="167">
        <f>data!F18 + DATEDIF(data!D18,data!U20,"D")*(data!F19-data!F18)/DATEDIF(data!D18,data!D19,"D")</f>
        <v>1.0009158118461539</v>
      </c>
    </row>
    <row r="27" spans="1:3" ht="15.75" thickBot="1" x14ac:dyDescent="0.3">
      <c r="A27" s="161"/>
      <c r="B27" s="161"/>
    </row>
    <row r="28" spans="1:3" x14ac:dyDescent="0.25">
      <c r="A28" s="127" t="s">
        <v>837</v>
      </c>
      <c r="B28" s="128" t="e">
        <f ca="1">floatingBond(B20,B15,B21/100,IRS!B18)</f>
        <v>#VALUE!</v>
      </c>
      <c r="C28" s="84" t="str">
        <f>IF(ISNUMBER(#REF!),"T" &amp; (ROW()-1) &amp; ":","")</f>
        <v/>
      </c>
    </row>
    <row r="29" spans="1:3" x14ac:dyDescent="0.25">
      <c r="A29" s="129" t="s">
        <v>838</v>
      </c>
      <c r="B29" s="130">
        <f>SUMPRODUCT(B24:B26,C24:C26)+B15*C26</f>
        <v>100.18471371044986</v>
      </c>
      <c r="C29" s="84" t="str">
        <f>IF(ISNUMBER(#REF!),"T" &amp; (ROW()-1) &amp; ":","")</f>
        <v/>
      </c>
    </row>
    <row r="30" spans="1:3" ht="15.75" thickBot="1" x14ac:dyDescent="0.3">
      <c r="A30" s="114" t="s">
        <v>839</v>
      </c>
      <c r="B30" s="131" t="e">
        <f ca="1">B29-B28</f>
        <v>#VALUE!</v>
      </c>
      <c r="C30" s="84" t="str">
        <f>IF(ISNUMBER(#REF!),"T" &amp; (ROW()-1) &amp; ":","")</f>
        <v/>
      </c>
    </row>
    <row r="31" spans="1:3" x14ac:dyDescent="0.25">
      <c r="C31" s="84" t="str">
        <f>IF(ISNUMBER(#REF!),"T" &amp; (ROW()-1) &amp; ":","")</f>
        <v/>
      </c>
    </row>
    <row r="32" spans="1:3" x14ac:dyDescent="0.25">
      <c r="C32" s="84" t="str">
        <f>IF(ISNUMBER(#REF!),"T" &amp; (ROW()-1) &amp; ":","")</f>
        <v/>
      </c>
    </row>
    <row r="33" spans="3:3" x14ac:dyDescent="0.25">
      <c r="C33" s="84" t="str">
        <f>IF(ISNUMBER(#REF!),"T" &amp; (ROW()-1) &amp; ":","")</f>
        <v/>
      </c>
    </row>
    <row r="34" spans="3:3" x14ac:dyDescent="0.25">
      <c r="C34" s="84" t="str">
        <f>IF(ISNUMBER(#REF!),"T" &amp; (ROW()-1) &amp; ":","")</f>
        <v/>
      </c>
    </row>
    <row r="35" spans="3:3" x14ac:dyDescent="0.25">
      <c r="C35" s="84" t="str">
        <f>IF(ISNUMBER(#REF!),"T" &amp; (ROW()-1) &amp; ":","")</f>
        <v/>
      </c>
    </row>
    <row r="36" spans="3:3" x14ac:dyDescent="0.25">
      <c r="C36" s="84" t="str">
        <f>IF(ISNUMBER(#REF!),"T" &amp; (ROW()-1) &amp; ":","")</f>
        <v/>
      </c>
    </row>
    <row r="37" spans="3:3" x14ac:dyDescent="0.25">
      <c r="C37" s="84" t="str">
        <f>IF(ISNUMBER(#REF!),"T" &amp; (ROW()-1) &amp; ":","")</f>
        <v/>
      </c>
    </row>
    <row r="38" spans="3:3" x14ac:dyDescent="0.25">
      <c r="C38" s="84" t="str">
        <f>IF(ISNUMBER(#REF!),"T" &amp; (ROW()-1) &amp; ":","")</f>
        <v/>
      </c>
    </row>
    <row r="39" spans="3:3" x14ac:dyDescent="0.25">
      <c r="C39" s="84" t="str">
        <f>IF(ISNUMBER(#REF!),"T" &amp; (ROW()-1) &amp; ":","")</f>
        <v/>
      </c>
    </row>
    <row r="40" spans="3:3" x14ac:dyDescent="0.25">
      <c r="C40" s="84" t="str">
        <f>IF(ISNUMBER(#REF!),"T" &amp; (ROW()-1) &amp; ":","")</f>
        <v/>
      </c>
    </row>
    <row r="41" spans="3:3" x14ac:dyDescent="0.25">
      <c r="C41" s="84" t="str">
        <f>IF(ISNUMBER(#REF!),"T" &amp; (ROW()-1) &amp; ":","")</f>
        <v/>
      </c>
    </row>
    <row r="42" spans="3:3" x14ac:dyDescent="0.25">
      <c r="C42" s="84" t="str">
        <f>IF(ISNUMBER(#REF!),"T" &amp; (ROW()-1) &amp; ":","")</f>
        <v/>
      </c>
    </row>
    <row r="43" spans="3:3" x14ac:dyDescent="0.25">
      <c r="C43" s="84" t="str">
        <f>IF(ISNUMBER(#REF!),"T" &amp; (ROW()-1) &amp; ":","")</f>
        <v/>
      </c>
    </row>
    <row r="44" spans="3:3" x14ac:dyDescent="0.25">
      <c r="C44" s="84" t="str">
        <f>IF(ISNUMBER(#REF!),"T" &amp; (ROW()-1) &amp; ":","")</f>
        <v/>
      </c>
    </row>
    <row r="45" spans="3:3" x14ac:dyDescent="0.25">
      <c r="C45" s="84" t="str">
        <f>IF(ISNUMBER(#REF!),"T" &amp; (ROW()-1) &amp; ":","")</f>
        <v/>
      </c>
    </row>
    <row r="46" spans="3:3" x14ac:dyDescent="0.25">
      <c r="C46" s="84" t="str">
        <f>IF(ISNUMBER(#REF!),"T" &amp; (ROW()-1) &amp; ":","")</f>
        <v/>
      </c>
    </row>
    <row r="47" spans="3:3" x14ac:dyDescent="0.25">
      <c r="C47" s="84" t="str">
        <f>IF(ISNUMBER(#REF!),"T" &amp; (ROW()-1) &amp; ":","")</f>
        <v/>
      </c>
    </row>
    <row r="48" spans="3:3" x14ac:dyDescent="0.25">
      <c r="C48" s="84" t="str">
        <f>IF(ISNUMBER(#REF!),"T" &amp; (ROW()-1) &amp; ":","")</f>
        <v/>
      </c>
    </row>
    <row r="49" spans="3:3" x14ac:dyDescent="0.25">
      <c r="C49" s="84" t="str">
        <f>IF(ISNUMBER(#REF!),"T" &amp; (ROW()-1) &amp; ":","")</f>
        <v/>
      </c>
    </row>
    <row r="50" spans="3:3" x14ac:dyDescent="0.25">
      <c r="C50" s="84" t="str">
        <f>IF(ISNUMBER(#REF!),"T" &amp; (ROW()-1) &amp; ":","")</f>
        <v/>
      </c>
    </row>
    <row r="51" spans="3:3" x14ac:dyDescent="0.25">
      <c r="C51" s="84" t="str">
        <f>IF(ISNUMBER(#REF!),"T" &amp; (ROW()-1) &amp; ":","")</f>
        <v/>
      </c>
    </row>
    <row r="52" spans="3:3" x14ac:dyDescent="0.25">
      <c r="C52" s="84" t="str">
        <f>IF(ISNUMBER(#REF!),"T" &amp; (ROW()-1) &amp; ":","")</f>
        <v/>
      </c>
    </row>
    <row r="53" spans="3:3" x14ac:dyDescent="0.25">
      <c r="C53" s="84" t="str">
        <f>IF(ISNUMBER(#REF!),"T" &amp; (ROW()-1) &amp; ":","")</f>
        <v/>
      </c>
    </row>
    <row r="54" spans="3:3" x14ac:dyDescent="0.25">
      <c r="C54" s="84" t="str">
        <f>IF(ISNUMBER(#REF!),"T" &amp; (ROW()-1) &amp; ":","")</f>
        <v/>
      </c>
    </row>
    <row r="55" spans="3:3" x14ac:dyDescent="0.25">
      <c r="C55" s="84" t="str">
        <f>IF(ISNUMBER(#REF!),"T" &amp; (ROW()-1) &amp; ":","")</f>
        <v/>
      </c>
    </row>
    <row r="56" spans="3:3" x14ac:dyDescent="0.25">
      <c r="C56" s="84" t="str">
        <f>IF(ISNUMBER(#REF!),"T" &amp; (ROW()-1) &amp; ":","")</f>
        <v/>
      </c>
    </row>
    <row r="57" spans="3:3" x14ac:dyDescent="0.25">
      <c r="C57" s="84" t="str">
        <f>IF(ISNUMBER(#REF!),"T" &amp; (ROW()-1) &amp; ":","")</f>
        <v/>
      </c>
    </row>
    <row r="58" spans="3:3" x14ac:dyDescent="0.25">
      <c r="C58" s="84" t="str">
        <f>IF(ISNUMBER(#REF!),"T" &amp; (ROW()-1) &amp; ":","")</f>
        <v/>
      </c>
    </row>
    <row r="59" spans="3:3" x14ac:dyDescent="0.25">
      <c r="C59" s="84" t="str">
        <f>IF(ISNUMBER(#REF!),"T" &amp; (ROW()-1) &amp; ":","")</f>
        <v/>
      </c>
    </row>
    <row r="60" spans="3:3" x14ac:dyDescent="0.25">
      <c r="C60" s="84" t="str">
        <f>IF(ISNUMBER(#REF!),"T" &amp; (ROW()-1) &amp; ":","")</f>
        <v/>
      </c>
    </row>
    <row r="61" spans="3:3" x14ac:dyDescent="0.25">
      <c r="C61" s="84" t="str">
        <f>IF(ISNUMBER(#REF!),"T" &amp; (ROW()-1) &amp; ":","")</f>
        <v/>
      </c>
    </row>
    <row r="62" spans="3:3" x14ac:dyDescent="0.25">
      <c r="C62" s="84" t="str">
        <f>IF(ISNUMBER(#REF!),"T" &amp; (ROW()-1) &amp; ":","")</f>
        <v/>
      </c>
    </row>
    <row r="63" spans="3:3" x14ac:dyDescent="0.25">
      <c r="C63" s="84" t="str">
        <f>IF(ISNUMBER(#REF!),"T" &amp; (ROW()-1) &amp; ":","")</f>
        <v/>
      </c>
    </row>
    <row r="64" spans="3:3" x14ac:dyDescent="0.25">
      <c r="C64" s="84" t="str">
        <f>IF(ISNUMBER(#REF!),"T" &amp; (ROW()-1) &amp; ":","")</f>
        <v/>
      </c>
    </row>
    <row r="65" spans="3:3" x14ac:dyDescent="0.25">
      <c r="C65" s="84" t="str">
        <f>IF(ISNUMBER(#REF!),"T" &amp; (ROW()-1) &amp; ":","")</f>
        <v/>
      </c>
    </row>
    <row r="66" spans="3:3" x14ac:dyDescent="0.25">
      <c r="C66" s="84" t="str">
        <f>IF(ISNUMBER(#REF!),"T" &amp; (ROW()-1) &amp; ":","")</f>
        <v/>
      </c>
    </row>
    <row r="67" spans="3:3" x14ac:dyDescent="0.25">
      <c r="C67" s="84" t="str">
        <f>IF(ISNUMBER(#REF!),"T" &amp; (ROW()-1) &amp; ":","")</f>
        <v/>
      </c>
    </row>
    <row r="68" spans="3:3" x14ac:dyDescent="0.25">
      <c r="C68" s="84" t="str">
        <f>IF(ISNUMBER(#REF!),"T" &amp; (ROW()-1) &amp; ":","")</f>
        <v/>
      </c>
    </row>
    <row r="69" spans="3:3" x14ac:dyDescent="0.25">
      <c r="C69" s="84" t="str">
        <f>IF(ISNUMBER(#REF!),"T" &amp; (ROW()-1) &amp; ":","")</f>
        <v/>
      </c>
    </row>
    <row r="70" spans="3:3" x14ac:dyDescent="0.25">
      <c r="C70" s="84" t="str">
        <f>IF(ISNUMBER(#REF!),"T" &amp; (ROW()-1) &amp; ":","")</f>
        <v/>
      </c>
    </row>
    <row r="71" spans="3:3" x14ac:dyDescent="0.25">
      <c r="C71" s="84" t="str">
        <f>IF(ISNUMBER(#REF!),"T" &amp; (ROW()-1) &amp; ":","")</f>
        <v/>
      </c>
    </row>
    <row r="72" spans="3:3" x14ac:dyDescent="0.25">
      <c r="C72" s="84" t="str">
        <f>IF(ISNUMBER(#REF!),"T" &amp; (ROW()-1) &amp; ":","")</f>
        <v/>
      </c>
    </row>
    <row r="73" spans="3:3" x14ac:dyDescent="0.25">
      <c r="C73" s="84" t="str">
        <f>IF(ISNUMBER(#REF!),"T" &amp; (ROW()-1) &amp; ":","")</f>
        <v/>
      </c>
    </row>
    <row r="74" spans="3:3" x14ac:dyDescent="0.25">
      <c r="C74" s="84" t="str">
        <f>IF(ISNUMBER(#REF!),"T" &amp; (ROW()-1) &amp; ":","")</f>
        <v/>
      </c>
    </row>
    <row r="75" spans="3:3" x14ac:dyDescent="0.25">
      <c r="C75" s="84" t="str">
        <f>IF(ISNUMBER(#REF!),"T" &amp; (ROW()-1) &amp; ":","")</f>
        <v/>
      </c>
    </row>
    <row r="76" spans="3:3" x14ac:dyDescent="0.25">
      <c r="C76" s="84" t="str">
        <f>IF(ISNUMBER(#REF!),"T" &amp; (ROW()-1) &amp; ":","")</f>
        <v/>
      </c>
    </row>
    <row r="77" spans="3:3" x14ac:dyDescent="0.25">
      <c r="C77" s="84" t="str">
        <f>IF(ISNUMBER(#REF!),"T" &amp; (ROW()-1) &amp; ":","")</f>
        <v/>
      </c>
    </row>
    <row r="78" spans="3:3" x14ac:dyDescent="0.25">
      <c r="C78" s="84" t="str">
        <f>IF(ISNUMBER(#REF!),"T" &amp; (ROW()-1) &amp; ":","")</f>
        <v/>
      </c>
    </row>
    <row r="79" spans="3:3" x14ac:dyDescent="0.25">
      <c r="C79" s="84" t="str">
        <f>IF(ISNUMBER(#REF!),"T" &amp; (ROW()-1) &amp; ":","")</f>
        <v/>
      </c>
    </row>
    <row r="80" spans="3:3" x14ac:dyDescent="0.25">
      <c r="C80" s="84" t="str">
        <f>IF(ISNUMBER(#REF!),"T" &amp; (ROW()-1) &amp; ":","")</f>
        <v/>
      </c>
    </row>
    <row r="81" spans="3:3" x14ac:dyDescent="0.25">
      <c r="C81" s="84" t="str">
        <f>IF(ISNUMBER(#REF!),"T" &amp; (ROW()-1) &amp; ":","")</f>
        <v/>
      </c>
    </row>
    <row r="82" spans="3:3" x14ac:dyDescent="0.25">
      <c r="C82" s="84" t="str">
        <f>IF(ISNUMBER(#REF!),"T" &amp; (ROW()-1) &amp; ":","")</f>
        <v/>
      </c>
    </row>
    <row r="83" spans="3:3" x14ac:dyDescent="0.25">
      <c r="C83" s="84" t="str">
        <f>IF(ISNUMBER(#REF!),"T" &amp; (ROW()-1) &amp; ":","")</f>
        <v/>
      </c>
    </row>
    <row r="84" spans="3:3" x14ac:dyDescent="0.25">
      <c r="C84" s="84" t="str">
        <f>IF(ISNUMBER(#REF!),"T" &amp; (ROW()-1) &amp; ":","")</f>
        <v/>
      </c>
    </row>
    <row r="85" spans="3:3" x14ac:dyDescent="0.25">
      <c r="C85" s="84" t="str">
        <f>IF(ISNUMBER(#REF!),"T" &amp; (ROW()-1) &amp; ":","")</f>
        <v/>
      </c>
    </row>
    <row r="86" spans="3:3" x14ac:dyDescent="0.25">
      <c r="C86" s="84" t="str">
        <f>IF(ISNUMBER(#REF!),"T" &amp; (ROW()-1) &amp; ":","")</f>
        <v/>
      </c>
    </row>
    <row r="87" spans="3:3" x14ac:dyDescent="0.25">
      <c r="C87" s="84" t="str">
        <f>IF(ISNUMBER(#REF!),"T" &amp; (ROW()-1) &amp; ":","")</f>
        <v/>
      </c>
    </row>
    <row r="88" spans="3:3" x14ac:dyDescent="0.25">
      <c r="C88" s="84" t="str">
        <f>IF(ISNUMBER(#REF!),"T" &amp; (ROW()-1) &amp; ":","")</f>
        <v/>
      </c>
    </row>
    <row r="89" spans="3:3" x14ac:dyDescent="0.25">
      <c r="C89" s="84" t="str">
        <f>IF(ISNUMBER(#REF!),"T" &amp; (ROW()-1) &amp; ":","")</f>
        <v/>
      </c>
    </row>
    <row r="90" spans="3:3" x14ac:dyDescent="0.25">
      <c r="C90" s="84" t="str">
        <f>IF(ISNUMBER(#REF!),"T" &amp; (ROW()-1) &amp; ":","")</f>
        <v/>
      </c>
    </row>
    <row r="91" spans="3:3" x14ac:dyDescent="0.25">
      <c r="C91" s="84" t="str">
        <f>IF(ISNUMBER(#REF!),"T" &amp; (ROW()-1) &amp; ":","")</f>
        <v/>
      </c>
    </row>
    <row r="92" spans="3:3" x14ac:dyDescent="0.25">
      <c r="C92" s="84" t="str">
        <f>IF(ISNUMBER(#REF!),"T" &amp; (ROW()-1) &amp; ":","")</f>
        <v/>
      </c>
    </row>
    <row r="93" spans="3:3" x14ac:dyDescent="0.25">
      <c r="C93" s="84" t="str">
        <f>IF(ISNUMBER(#REF!),"T" &amp; (ROW()-1) &amp; ":","")</f>
        <v/>
      </c>
    </row>
    <row r="94" spans="3:3" x14ac:dyDescent="0.25">
      <c r="C94" s="84" t="str">
        <f>IF(ISNUMBER(#REF!),"T" &amp; (ROW()-1) &amp; ":","")</f>
        <v/>
      </c>
    </row>
    <row r="95" spans="3:3" x14ac:dyDescent="0.25">
      <c r="C95" s="84" t="str">
        <f>IF(ISNUMBER(#REF!),"T" &amp; (ROW()-1) &amp; ":","")</f>
        <v/>
      </c>
    </row>
    <row r="96" spans="3:3" x14ac:dyDescent="0.25">
      <c r="C96" s="84" t="str">
        <f>IF(ISNUMBER(#REF!),"T" &amp; (ROW()-1) &amp; ":","")</f>
        <v/>
      </c>
    </row>
    <row r="97" spans="3:3" x14ac:dyDescent="0.25">
      <c r="C97" s="84" t="str">
        <f>IF(ISNUMBER(#REF!),"T" &amp; (ROW()-1) &amp; ":","")</f>
        <v/>
      </c>
    </row>
    <row r="98" spans="3:3" x14ac:dyDescent="0.25">
      <c r="C98" s="84" t="str">
        <f>IF(ISNUMBER(#REF!),"T" &amp; (ROW()-1) &amp; ":","")</f>
        <v/>
      </c>
    </row>
    <row r="99" spans="3:3" x14ac:dyDescent="0.25">
      <c r="C99" s="84" t="str">
        <f>IF(ISNUMBER(#REF!),"T" &amp; (ROW()-1) &amp; ":","")</f>
        <v/>
      </c>
    </row>
    <row r="100" spans="3:3" x14ac:dyDescent="0.25">
      <c r="C100" s="84" t="str">
        <f>IF(ISNUMBER(#REF!),"T" &amp; (ROW()-1) &amp; ":","")</f>
        <v/>
      </c>
    </row>
    <row r="101" spans="3:3" x14ac:dyDescent="0.25">
      <c r="C101" s="84" t="str">
        <f>IF(ISNUMBER(#REF!),"T" &amp; (ROW()-1) &amp; ":","")</f>
        <v/>
      </c>
    </row>
    <row r="102" spans="3:3" x14ac:dyDescent="0.25">
      <c r="C102" s="84" t="str">
        <f>IF(ISNUMBER(#REF!),"T" &amp; (ROW()-1) &amp; ":","")</f>
        <v/>
      </c>
    </row>
    <row r="103" spans="3:3" x14ac:dyDescent="0.25">
      <c r="C103" s="84" t="str">
        <f>IF(ISNUMBER(#REF!),"T" &amp; (ROW()-1) &amp; ":","")</f>
        <v/>
      </c>
    </row>
    <row r="104" spans="3:3" x14ac:dyDescent="0.25">
      <c r="C104" s="84" t="str">
        <f>IF(ISNUMBER(#REF!),"T" &amp; (ROW()-1) &amp; ":","")</f>
        <v/>
      </c>
    </row>
    <row r="105" spans="3:3" x14ac:dyDescent="0.25">
      <c r="C105" s="84" t="str">
        <f>IF(ISNUMBER(#REF!),"T" &amp; (ROW()-1) &amp; ":","")</f>
        <v/>
      </c>
    </row>
    <row r="106" spans="3:3" x14ac:dyDescent="0.25">
      <c r="C106" s="84" t="str">
        <f>IF(ISNUMBER(#REF!),"T" &amp; (ROW()-1) &amp; ":","")</f>
        <v/>
      </c>
    </row>
    <row r="107" spans="3:3" x14ac:dyDescent="0.25">
      <c r="C107" s="84" t="str">
        <f>IF(ISNUMBER(#REF!),"T" &amp; (ROW()-1) &amp; ":","")</f>
        <v/>
      </c>
    </row>
    <row r="108" spans="3:3" x14ac:dyDescent="0.25">
      <c r="C108" s="84" t="str">
        <f>IF(ISNUMBER(#REF!),"T" &amp; (ROW()-1) &amp; ":","")</f>
        <v/>
      </c>
    </row>
    <row r="109" spans="3:3" x14ac:dyDescent="0.25">
      <c r="C109" s="84" t="str">
        <f>IF(ISNUMBER(#REF!),"T" &amp; (ROW()-1) &amp; ":","")</f>
        <v/>
      </c>
    </row>
    <row r="110" spans="3:3" x14ac:dyDescent="0.25">
      <c r="C110" s="84" t="str">
        <f>IF(ISNUMBER(#REF!),"T" &amp; (ROW()-1) &amp; ":","")</f>
        <v/>
      </c>
    </row>
    <row r="111" spans="3:3" x14ac:dyDescent="0.25">
      <c r="C111" s="84" t="str">
        <f>IF(ISNUMBER(#REF!),"T" &amp; (ROW()-1) &amp; ":","")</f>
        <v/>
      </c>
    </row>
    <row r="112" spans="3:3" x14ac:dyDescent="0.25">
      <c r="C112" s="84" t="str">
        <f>IF(ISNUMBER(#REF!),"T" &amp; (ROW()-1) &amp; ":","")</f>
        <v/>
      </c>
    </row>
    <row r="113" spans="3:3" x14ac:dyDescent="0.25">
      <c r="C113" s="84" t="str">
        <f>IF(ISNUMBER(#REF!),"T" &amp; (ROW()-1) &amp; ":","")</f>
        <v/>
      </c>
    </row>
    <row r="114" spans="3:3" x14ac:dyDescent="0.25">
      <c r="C114" s="84" t="str">
        <f>IF(ISNUMBER(#REF!),"T" &amp; (ROW()-1) &amp; ":","")</f>
        <v/>
      </c>
    </row>
    <row r="115" spans="3:3" x14ac:dyDescent="0.25">
      <c r="C115" s="84" t="str">
        <f>IF(ISNUMBER(#REF!),"T" &amp; (ROW()-1) &amp; ":","")</f>
        <v/>
      </c>
    </row>
    <row r="116" spans="3:3" x14ac:dyDescent="0.25">
      <c r="C116" s="84" t="str">
        <f>IF(ISNUMBER(#REF!),"T" &amp; (ROW()-1) &amp; ":","")</f>
        <v/>
      </c>
    </row>
    <row r="117" spans="3:3" x14ac:dyDescent="0.25">
      <c r="C117" s="84" t="str">
        <f>IF(ISNUMBER(#REF!),"T" &amp; (ROW()-1) &amp; ":","")</f>
        <v/>
      </c>
    </row>
    <row r="118" spans="3:3" x14ac:dyDescent="0.25">
      <c r="C118" s="84" t="str">
        <f>IF(ISNUMBER(#REF!),"T" &amp; (ROW()-1) &amp; ":","")</f>
        <v/>
      </c>
    </row>
    <row r="119" spans="3:3" x14ac:dyDescent="0.25">
      <c r="C119" s="84" t="str">
        <f>IF(ISNUMBER(#REF!),"T" &amp; (ROW()-1) &amp; ":","")</f>
        <v/>
      </c>
    </row>
    <row r="120" spans="3:3" x14ac:dyDescent="0.25">
      <c r="C120" s="84" t="str">
        <f>IF(ISNUMBER(#REF!),"T" &amp; (ROW()-1) &amp; ":","")</f>
        <v/>
      </c>
    </row>
    <row r="121" spans="3:3" x14ac:dyDescent="0.25">
      <c r="C121" s="84" t="str">
        <f>IF(ISNUMBER(#REF!),"T" &amp; (ROW()-1) &amp; ":","")</f>
        <v/>
      </c>
    </row>
    <row r="122" spans="3:3" x14ac:dyDescent="0.25">
      <c r="C122" s="84" t="str">
        <f>IF(ISNUMBER(#REF!),"T" &amp; (ROW()-1) &amp; ":","")</f>
        <v/>
      </c>
    </row>
    <row r="123" spans="3:3" x14ac:dyDescent="0.25">
      <c r="C123" s="84" t="str">
        <f>IF(ISNUMBER(#REF!),"T" &amp; (ROW()-1) &amp; ":","")</f>
        <v/>
      </c>
    </row>
    <row r="124" spans="3:3" x14ac:dyDescent="0.25">
      <c r="C124" s="84" t="str">
        <f>IF(ISNUMBER(#REF!),"T" &amp; (ROW()-1) &amp; ":","")</f>
        <v/>
      </c>
    </row>
    <row r="125" spans="3:3" x14ac:dyDescent="0.25">
      <c r="C125" s="84" t="str">
        <f>IF(ISNUMBER(#REF!),"T" &amp; (ROW()-1) &amp; ":","")</f>
        <v/>
      </c>
    </row>
    <row r="126" spans="3:3" x14ac:dyDescent="0.25">
      <c r="C126" s="84" t="str">
        <f>IF(ISNUMBER(#REF!),"T" &amp; (ROW()-1) &amp; ":","")</f>
        <v/>
      </c>
    </row>
    <row r="127" spans="3:3" x14ac:dyDescent="0.25">
      <c r="C127" s="84" t="str">
        <f>IF(ISNUMBER(#REF!),"T" &amp; (ROW()-1) &amp; ":","")</f>
        <v/>
      </c>
    </row>
    <row r="128" spans="3:3" x14ac:dyDescent="0.25">
      <c r="C128" s="84" t="str">
        <f>IF(ISNUMBER(#REF!),"T" &amp; (ROW()-1) &amp; ":","")</f>
        <v/>
      </c>
    </row>
    <row r="129" spans="3:3" x14ac:dyDescent="0.25">
      <c r="C129" s="84" t="str">
        <f>IF(ISNUMBER(#REF!),"T" &amp; (ROW()-1) &amp; ":","")</f>
        <v/>
      </c>
    </row>
    <row r="130" spans="3:3" x14ac:dyDescent="0.25">
      <c r="C130" s="84" t="str">
        <f>IF(ISNUMBER(#REF!),"T" &amp; (ROW()-1) &amp; ":","")</f>
        <v/>
      </c>
    </row>
    <row r="131" spans="3:3" x14ac:dyDescent="0.25">
      <c r="C131" s="84" t="str">
        <f>IF(ISNUMBER(#REF!),"T" &amp; (ROW()-1) &amp; ":","")</f>
        <v/>
      </c>
    </row>
    <row r="132" spans="3:3" x14ac:dyDescent="0.25">
      <c r="C132" s="84" t="str">
        <f>IF(ISNUMBER(#REF!),"T" &amp; (ROW()-1) &amp; ":","")</f>
        <v/>
      </c>
    </row>
    <row r="133" spans="3:3" x14ac:dyDescent="0.25">
      <c r="C133" s="84" t="str">
        <f>IF(ISNUMBER(#REF!),"T" &amp; (ROW()-1) &amp; ":","")</f>
        <v/>
      </c>
    </row>
    <row r="134" spans="3:3" x14ac:dyDescent="0.25">
      <c r="C134" s="84" t="str">
        <f>IF(ISNUMBER(#REF!),"T" &amp; (ROW()-1) &amp; ":","")</f>
        <v/>
      </c>
    </row>
    <row r="135" spans="3:3" x14ac:dyDescent="0.25">
      <c r="C135" s="84" t="str">
        <f>IF(ISNUMBER(#REF!),"T" &amp; (ROW()-1) &amp; ":","")</f>
        <v/>
      </c>
    </row>
    <row r="136" spans="3:3" x14ac:dyDescent="0.25">
      <c r="C136" s="84" t="str">
        <f>IF(ISNUMBER(#REF!),"T" &amp; (ROW()-1) &amp; ":","")</f>
        <v/>
      </c>
    </row>
    <row r="137" spans="3:3" x14ac:dyDescent="0.25">
      <c r="C137" s="84" t="str">
        <f>IF(ISNUMBER(#REF!),"T" &amp; (ROW()-1) &amp; ":","")</f>
        <v/>
      </c>
    </row>
    <row r="138" spans="3:3" x14ac:dyDescent="0.25">
      <c r="C138" s="84" t="str">
        <f>IF(ISNUMBER(#REF!),"T" &amp; (ROW()-1) &amp; ":","")</f>
        <v/>
      </c>
    </row>
    <row r="139" spans="3:3" x14ac:dyDescent="0.25">
      <c r="C139" s="84" t="str">
        <f>IF(ISNUMBER(#REF!),"T" &amp; (ROW()-1) &amp; ":","")</f>
        <v/>
      </c>
    </row>
    <row r="140" spans="3:3" x14ac:dyDescent="0.25">
      <c r="C140" s="84" t="str">
        <f>IF(ISNUMBER(#REF!),"T" &amp; (ROW()-1) &amp; ":","")</f>
        <v/>
      </c>
    </row>
    <row r="141" spans="3:3" x14ac:dyDescent="0.25">
      <c r="C141" s="84" t="str">
        <f>IF(ISNUMBER(#REF!),"T" &amp; (ROW()-1) &amp; ":","")</f>
        <v/>
      </c>
    </row>
    <row r="142" spans="3:3" x14ac:dyDescent="0.25">
      <c r="C142" s="84" t="str">
        <f>IF(ISNUMBER(#REF!),"T" &amp; (ROW()-1) &amp; ":","")</f>
        <v/>
      </c>
    </row>
    <row r="143" spans="3:3" x14ac:dyDescent="0.25">
      <c r="C143" s="84" t="str">
        <f>IF(ISNUMBER(#REF!),"T" &amp; (ROW()-1) &amp; ":","")</f>
        <v/>
      </c>
    </row>
    <row r="144" spans="3:3" x14ac:dyDescent="0.25">
      <c r="C144" s="84" t="str">
        <f>IF(ISNUMBER(#REF!),"T" &amp; (ROW()-1) &amp; ":","")</f>
        <v/>
      </c>
    </row>
    <row r="145" spans="3:3" x14ac:dyDescent="0.25">
      <c r="C145" s="84" t="str">
        <f>IF(ISNUMBER(#REF!),"T" &amp; (ROW()-1) &amp; ":","")</f>
        <v/>
      </c>
    </row>
    <row r="146" spans="3:3" x14ac:dyDescent="0.25">
      <c r="C146" s="84" t="str">
        <f>IF(ISNUMBER(#REF!),"T" &amp; (ROW()-1) &amp; ":","")</f>
        <v/>
      </c>
    </row>
    <row r="147" spans="3:3" x14ac:dyDescent="0.25">
      <c r="C147" s="84" t="str">
        <f>IF(ISNUMBER(#REF!),"T" &amp; (ROW()-1) &amp; ":","")</f>
        <v/>
      </c>
    </row>
    <row r="148" spans="3:3" x14ac:dyDescent="0.25">
      <c r="C148" s="84" t="str">
        <f>IF(ISNUMBER(#REF!),"T" &amp; (ROW()-1) &amp; ":","")</f>
        <v/>
      </c>
    </row>
    <row r="149" spans="3:3" x14ac:dyDescent="0.25">
      <c r="C149" s="84" t="str">
        <f>IF(ISNUMBER(#REF!),"T" &amp; (ROW()-1) &amp; ":","")</f>
        <v/>
      </c>
    </row>
    <row r="150" spans="3:3" x14ac:dyDescent="0.25">
      <c r="C150" s="84" t="str">
        <f>IF(ISNUMBER(#REF!),"T" &amp; (ROW()-1) &amp; ":","")</f>
        <v/>
      </c>
    </row>
    <row r="151" spans="3:3" x14ac:dyDescent="0.25">
      <c r="C151" s="84" t="str">
        <f>IF(ISNUMBER(#REF!),"T" &amp; (ROW()-1) &amp; ":","")</f>
        <v/>
      </c>
    </row>
    <row r="152" spans="3:3" x14ac:dyDescent="0.25">
      <c r="C152" s="84" t="str">
        <f>IF(ISNUMBER(#REF!),"T" &amp; (ROW()-1) &amp; ":","")</f>
        <v/>
      </c>
    </row>
    <row r="153" spans="3:3" x14ac:dyDescent="0.25">
      <c r="C153" s="84" t="str">
        <f>IF(ISNUMBER(#REF!),"T" &amp; (ROW()-1) &amp; ":","")</f>
        <v/>
      </c>
    </row>
    <row r="154" spans="3:3" x14ac:dyDescent="0.25">
      <c r="C154" s="84" t="str">
        <f>IF(ISNUMBER(#REF!),"T" &amp; (ROW()-1) &amp; ":","")</f>
        <v/>
      </c>
    </row>
    <row r="155" spans="3:3" x14ac:dyDescent="0.25">
      <c r="C155" s="84" t="str">
        <f>IF(ISNUMBER(#REF!),"T" &amp; (ROW()-1) &amp; ":","")</f>
        <v/>
      </c>
    </row>
    <row r="156" spans="3:3" x14ac:dyDescent="0.25">
      <c r="C156" s="84" t="str">
        <f>IF(ISNUMBER(#REF!),"T" &amp; (ROW()-1) &amp; ":","")</f>
        <v/>
      </c>
    </row>
    <row r="157" spans="3:3" x14ac:dyDescent="0.25">
      <c r="C157" s="84" t="str">
        <f>IF(ISNUMBER(#REF!),"T" &amp; (ROW()-1) &amp; ":","")</f>
        <v/>
      </c>
    </row>
    <row r="158" spans="3:3" x14ac:dyDescent="0.25">
      <c r="C158" s="84" t="str">
        <f>IF(ISNUMBER(#REF!),"T" &amp; (ROW()-1) &amp; ":","")</f>
        <v/>
      </c>
    </row>
    <row r="159" spans="3:3" x14ac:dyDescent="0.25">
      <c r="C159" s="84" t="str">
        <f>IF(ISNUMBER(#REF!),"T" &amp; (ROW()-1) &amp; ":","")</f>
        <v/>
      </c>
    </row>
    <row r="160" spans="3:3" x14ac:dyDescent="0.25">
      <c r="C160" s="84" t="str">
        <f>IF(ISNUMBER(#REF!),"T" &amp; (ROW()-1) &amp; ":","")</f>
        <v/>
      </c>
    </row>
    <row r="161" spans="3:3" x14ac:dyDescent="0.25">
      <c r="C161" s="84" t="str">
        <f>IF(ISNUMBER(#REF!),"T" &amp; (ROW()-1) &amp; ":","")</f>
        <v/>
      </c>
    </row>
    <row r="162" spans="3:3" x14ac:dyDescent="0.25">
      <c r="C162" s="84" t="str">
        <f>IF(ISNUMBER(#REF!),"T" &amp; (ROW()-1) &amp; ":","")</f>
        <v/>
      </c>
    </row>
    <row r="163" spans="3:3" x14ac:dyDescent="0.25">
      <c r="C163" s="84" t="str">
        <f>IF(ISNUMBER(#REF!),"T" &amp; (ROW()-1) &amp; ":","")</f>
        <v/>
      </c>
    </row>
    <row r="164" spans="3:3" x14ac:dyDescent="0.25">
      <c r="C164" s="84" t="str">
        <f>IF(ISNUMBER(#REF!),"T" &amp; (ROW()-1) &amp; ":","")</f>
        <v/>
      </c>
    </row>
    <row r="165" spans="3:3" x14ac:dyDescent="0.25">
      <c r="C165" s="84" t="str">
        <f>IF(ISNUMBER(#REF!),"T" &amp; (ROW()-1) &amp; ":","")</f>
        <v/>
      </c>
    </row>
    <row r="166" spans="3:3" x14ac:dyDescent="0.25">
      <c r="C166" s="84" t="str">
        <f>IF(ISNUMBER(#REF!),"T" &amp; (ROW()-1) &amp; ":","")</f>
        <v/>
      </c>
    </row>
    <row r="167" spans="3:3" x14ac:dyDescent="0.25">
      <c r="C167" s="84" t="str">
        <f>IF(ISNUMBER(#REF!),"T" &amp; (ROW()-1) &amp; ":","")</f>
        <v/>
      </c>
    </row>
    <row r="168" spans="3:3" x14ac:dyDescent="0.25">
      <c r="C168" s="84" t="str">
        <f>IF(ISNUMBER(#REF!),"T" &amp; (ROW()-1) &amp; ":","")</f>
        <v/>
      </c>
    </row>
    <row r="169" spans="3:3" x14ac:dyDescent="0.25">
      <c r="C169" s="84" t="str">
        <f>IF(ISNUMBER(#REF!),"T" &amp; (ROW()-1) &amp; ":","")</f>
        <v/>
      </c>
    </row>
    <row r="170" spans="3:3" x14ac:dyDescent="0.25">
      <c r="C170" s="84" t="str">
        <f>IF(ISNUMBER(#REF!),"T" &amp; (ROW()-1) &amp; ":","")</f>
        <v/>
      </c>
    </row>
    <row r="171" spans="3:3" x14ac:dyDescent="0.25">
      <c r="C171" s="84" t="str">
        <f>IF(ISNUMBER(#REF!),"T" &amp; (ROW()-1) &amp; ":","")</f>
        <v/>
      </c>
    </row>
    <row r="172" spans="3:3" x14ac:dyDescent="0.25">
      <c r="C172" s="84" t="str">
        <f>IF(ISNUMBER(#REF!),"T" &amp; (ROW()-1) &amp; ":","")</f>
        <v/>
      </c>
    </row>
    <row r="173" spans="3:3" x14ac:dyDescent="0.25">
      <c r="C173" s="84" t="str">
        <f>IF(ISNUMBER(#REF!),"T" &amp; (ROW()-1) &amp; ":","")</f>
        <v/>
      </c>
    </row>
    <row r="174" spans="3:3" x14ac:dyDescent="0.25">
      <c r="C174" s="84" t="str">
        <f>IF(ISNUMBER(#REF!),"T" &amp; (ROW()-1) &amp; ":","")</f>
        <v/>
      </c>
    </row>
    <row r="175" spans="3:3" x14ac:dyDescent="0.25">
      <c r="C175" s="84" t="str">
        <f>IF(ISNUMBER(#REF!),"T" &amp; (ROW()-1) &amp; ":","")</f>
        <v/>
      </c>
    </row>
    <row r="176" spans="3:3" x14ac:dyDescent="0.25">
      <c r="C176" s="84" t="str">
        <f>IF(ISNUMBER(#REF!),"T" &amp; (ROW()-1) &amp; ":","")</f>
        <v/>
      </c>
    </row>
    <row r="177" spans="3:3" x14ac:dyDescent="0.25">
      <c r="C177" s="84" t="str">
        <f>IF(ISNUMBER(#REF!),"T" &amp; (ROW()-1) &amp; ":","")</f>
        <v/>
      </c>
    </row>
    <row r="178" spans="3:3" x14ac:dyDescent="0.25">
      <c r="C178" s="84" t="str">
        <f>IF(ISNUMBER(#REF!),"T" &amp; (ROW()-1) &amp; ":","")</f>
        <v/>
      </c>
    </row>
    <row r="179" spans="3:3" x14ac:dyDescent="0.25">
      <c r="C179" s="84" t="str">
        <f>IF(ISNUMBER(#REF!),"T" &amp; (ROW()-1) &amp; ":","")</f>
        <v/>
      </c>
    </row>
    <row r="180" spans="3:3" x14ac:dyDescent="0.25">
      <c r="C180" s="84" t="str">
        <f>IF(ISNUMBER(#REF!),"T" &amp; (ROW()-1) &amp; ":","")</f>
        <v/>
      </c>
    </row>
    <row r="181" spans="3:3" x14ac:dyDescent="0.25">
      <c r="C181" s="84" t="str">
        <f>IF(ISNUMBER(#REF!),"T" &amp; (ROW()-1) &amp; ":","")</f>
        <v/>
      </c>
    </row>
    <row r="182" spans="3:3" x14ac:dyDescent="0.25">
      <c r="C182" s="84" t="str">
        <f>IF(ISNUMBER(#REF!),"T" &amp; (ROW()-1) &amp; ":","")</f>
        <v/>
      </c>
    </row>
    <row r="183" spans="3:3" x14ac:dyDescent="0.25">
      <c r="C183" s="84" t="str">
        <f>IF(ISNUMBER(#REF!),"T" &amp; (ROW()-1) &amp; ":","")</f>
        <v/>
      </c>
    </row>
    <row r="184" spans="3:3" x14ac:dyDescent="0.25">
      <c r="C184" s="84" t="str">
        <f>IF(ISNUMBER(#REF!),"T" &amp; (ROW()-1) &amp; ":","")</f>
        <v/>
      </c>
    </row>
    <row r="185" spans="3:3" x14ac:dyDescent="0.25">
      <c r="C185" s="84" t="str">
        <f>IF(ISNUMBER(#REF!),"T" &amp; (ROW()-1) &amp; ":","")</f>
        <v/>
      </c>
    </row>
    <row r="186" spans="3:3" x14ac:dyDescent="0.25">
      <c r="C186" s="84" t="str">
        <f>IF(ISNUMBER(#REF!),"T" &amp; (ROW()-1) &amp; ":","")</f>
        <v/>
      </c>
    </row>
    <row r="187" spans="3:3" x14ac:dyDescent="0.25">
      <c r="C187" s="84" t="str">
        <f>IF(ISNUMBER(#REF!),"T" &amp; (ROW()-1) &amp; ":","")</f>
        <v/>
      </c>
    </row>
    <row r="188" spans="3:3" x14ac:dyDescent="0.25">
      <c r="C188" s="84" t="str">
        <f>IF(ISNUMBER(#REF!),"T" &amp; (ROW()-1) &amp; ":","")</f>
        <v/>
      </c>
    </row>
    <row r="189" spans="3:3" x14ac:dyDescent="0.25">
      <c r="C189" s="84" t="str">
        <f>IF(ISNUMBER(#REF!),"T" &amp; (ROW()-1) &amp; ":","")</f>
        <v/>
      </c>
    </row>
    <row r="190" spans="3:3" x14ac:dyDescent="0.25">
      <c r="C190" s="84" t="str">
        <f>IF(ISNUMBER(#REF!),"T" &amp; (ROW()-1) &amp; ":","")</f>
        <v/>
      </c>
    </row>
    <row r="191" spans="3:3" x14ac:dyDescent="0.25">
      <c r="C191" s="84" t="str">
        <f>IF(ISNUMBER(#REF!),"T" &amp; (ROW()-1) &amp; ":","")</f>
        <v/>
      </c>
    </row>
    <row r="192" spans="3:3" x14ac:dyDescent="0.25">
      <c r="C192" s="84" t="str">
        <f>IF(ISNUMBER(#REF!),"T" &amp; (ROW()-1) &amp; ":","")</f>
        <v/>
      </c>
    </row>
    <row r="193" spans="3:3" x14ac:dyDescent="0.25">
      <c r="C193" s="84" t="str">
        <f>IF(ISNUMBER(#REF!),"T" &amp; (ROW()-1) &amp; ":","")</f>
        <v/>
      </c>
    </row>
    <row r="194" spans="3:3" x14ac:dyDescent="0.25">
      <c r="C194" s="84" t="str">
        <f>IF(ISNUMBER(#REF!),"T" &amp; (ROW()-1) &amp; ":","")</f>
        <v/>
      </c>
    </row>
    <row r="195" spans="3:3" x14ac:dyDescent="0.25">
      <c r="C195" s="84" t="str">
        <f>IF(ISNUMBER(#REF!),"T" &amp; (ROW()-1) &amp; ":","")</f>
        <v/>
      </c>
    </row>
    <row r="196" spans="3:3" x14ac:dyDescent="0.25">
      <c r="C196" s="84" t="str">
        <f>IF(ISNUMBER(#REF!),"T" &amp; (ROW()-1) &amp; ":","")</f>
        <v/>
      </c>
    </row>
    <row r="197" spans="3:3" x14ac:dyDescent="0.25">
      <c r="C197" s="84" t="str">
        <f>IF(ISNUMBER(#REF!),"T" &amp; (ROW()-1) &amp; ":","")</f>
        <v/>
      </c>
    </row>
    <row r="198" spans="3:3" x14ac:dyDescent="0.25">
      <c r="C198" s="84" t="str">
        <f>IF(ISNUMBER(#REF!),"T" &amp; (ROW()-1) &amp; ":","")</f>
        <v/>
      </c>
    </row>
    <row r="199" spans="3:3" x14ac:dyDescent="0.25">
      <c r="C199" s="84" t="str">
        <f>IF(ISNUMBER(#REF!),"T" &amp; (ROW()-1) &amp; ":","")</f>
        <v/>
      </c>
    </row>
    <row r="200" spans="3:3" x14ac:dyDescent="0.25">
      <c r="C200" s="84" t="str">
        <f>IF(ISNUMBER(#REF!),"T" &amp; (ROW()-1) &amp; ":","")</f>
        <v/>
      </c>
    </row>
    <row r="201" spans="3:3" x14ac:dyDescent="0.25">
      <c r="C201" s="84" t="str">
        <f>IF(ISNUMBER(#REF!),"T" &amp; (ROW()-1) &amp; ":","")</f>
        <v/>
      </c>
    </row>
    <row r="202" spans="3:3" x14ac:dyDescent="0.25">
      <c r="C202" s="84" t="str">
        <f>IF(ISNUMBER(#REF!),"T" &amp; (ROW()-1) &amp; ":","")</f>
        <v/>
      </c>
    </row>
    <row r="203" spans="3:3" x14ac:dyDescent="0.25">
      <c r="C203" s="84" t="str">
        <f>IF(ISNUMBER(#REF!),"T" &amp; (ROW()-1) &amp; ":","")</f>
        <v/>
      </c>
    </row>
    <row r="204" spans="3:3" x14ac:dyDescent="0.25">
      <c r="C204" s="84" t="str">
        <f>IF(ISNUMBER(#REF!),"T" &amp; (ROW()-1) &amp; ":","")</f>
        <v/>
      </c>
    </row>
    <row r="205" spans="3:3" x14ac:dyDescent="0.25">
      <c r="C205" s="84" t="str">
        <f>IF(ISNUMBER(#REF!),"T" &amp; (ROW()-1) &amp; ":","")</f>
        <v/>
      </c>
    </row>
    <row r="206" spans="3:3" x14ac:dyDescent="0.25">
      <c r="C206" s="84" t="str">
        <f>IF(ISNUMBER(#REF!),"T" &amp; (ROW()-1) &amp; ":","")</f>
        <v/>
      </c>
    </row>
    <row r="207" spans="3:3" x14ac:dyDescent="0.25">
      <c r="C207" s="84" t="str">
        <f>IF(ISNUMBER(#REF!),"T" &amp; (ROW()-1) &amp; ":","")</f>
        <v/>
      </c>
    </row>
    <row r="208" spans="3:3" x14ac:dyDescent="0.25">
      <c r="C208" s="84" t="str">
        <f>IF(ISNUMBER(#REF!),"T" &amp; (ROW()-1) &amp; ":","")</f>
        <v/>
      </c>
    </row>
    <row r="209" spans="3:3" x14ac:dyDescent="0.25">
      <c r="C209" s="84" t="str">
        <f>IF(ISNUMBER(#REF!),"T" &amp; (ROW()-1) &amp; ":","")</f>
        <v/>
      </c>
    </row>
    <row r="210" spans="3:3" x14ac:dyDescent="0.25">
      <c r="C210" s="84" t="str">
        <f>IF(ISNUMBER(#REF!),"T" &amp; (ROW()-1) &amp; ":","")</f>
        <v/>
      </c>
    </row>
    <row r="211" spans="3:3" x14ac:dyDescent="0.25">
      <c r="C211" s="84" t="str">
        <f>IF(ISNUMBER(#REF!),"T" &amp; (ROW()-1) &amp; ":","")</f>
        <v/>
      </c>
    </row>
    <row r="212" spans="3:3" x14ac:dyDescent="0.25">
      <c r="C212" s="84" t="str">
        <f>IF(ISNUMBER(#REF!),"T" &amp; (ROW()-1) &amp; ":","")</f>
        <v/>
      </c>
    </row>
    <row r="213" spans="3:3" x14ac:dyDescent="0.25">
      <c r="C213" s="84" t="str">
        <f>IF(ISNUMBER(#REF!),"T" &amp; (ROW()-1) &amp; ":","")</f>
        <v/>
      </c>
    </row>
    <row r="214" spans="3:3" x14ac:dyDescent="0.25">
      <c r="C214" s="84" t="str">
        <f>IF(ISNUMBER(#REF!),"T" &amp; (ROW()-1) &amp; ":","")</f>
        <v/>
      </c>
    </row>
    <row r="215" spans="3:3" x14ac:dyDescent="0.25">
      <c r="C215" s="84" t="str">
        <f>IF(ISNUMBER(#REF!),"T" &amp; (ROW()-1) &amp; ":","")</f>
        <v/>
      </c>
    </row>
    <row r="216" spans="3:3" x14ac:dyDescent="0.25">
      <c r="C216" s="84" t="str">
        <f>IF(ISNUMBER(#REF!),"T" &amp; (ROW()-1) &amp; ":","")</f>
        <v/>
      </c>
    </row>
    <row r="217" spans="3:3" x14ac:dyDescent="0.25">
      <c r="C217" s="84" t="str">
        <f>IF(ISNUMBER(#REF!),"T" &amp; (ROW()-1) &amp; ":","")</f>
        <v/>
      </c>
    </row>
    <row r="218" spans="3:3" x14ac:dyDescent="0.25">
      <c r="C218" s="84" t="str">
        <f>IF(ISNUMBER(#REF!),"T" &amp; (ROW()-1) &amp; ":","")</f>
        <v/>
      </c>
    </row>
    <row r="219" spans="3:3" x14ac:dyDescent="0.25">
      <c r="C219" s="84" t="str">
        <f>IF(ISNUMBER(#REF!),"T" &amp; (ROW()-1) &amp; ":","")</f>
        <v/>
      </c>
    </row>
    <row r="220" spans="3:3" x14ac:dyDescent="0.25">
      <c r="C220" s="84" t="str">
        <f>IF(ISNUMBER(#REF!),"T" &amp; (ROW()-1) &amp; ":","")</f>
        <v/>
      </c>
    </row>
    <row r="221" spans="3:3" x14ac:dyDescent="0.25">
      <c r="C221" s="84" t="str">
        <f>IF(ISNUMBER(#REF!),"T" &amp; (ROW()-1) &amp; ":","")</f>
        <v/>
      </c>
    </row>
    <row r="222" spans="3:3" x14ac:dyDescent="0.25">
      <c r="C222" s="84" t="str">
        <f>IF(ISNUMBER(#REF!),"T" &amp; (ROW()-1) &amp; ":","")</f>
        <v/>
      </c>
    </row>
    <row r="223" spans="3:3" x14ac:dyDescent="0.25">
      <c r="C223" s="84" t="str">
        <f>IF(ISNUMBER(#REF!),"T" &amp; (ROW()-1) &amp; ":","")</f>
        <v/>
      </c>
    </row>
    <row r="224" spans="3:3" x14ac:dyDescent="0.25">
      <c r="C224" s="84" t="str">
        <f>IF(ISNUMBER(#REF!),"T" &amp; (ROW()-1) &amp; ":","")</f>
        <v/>
      </c>
    </row>
    <row r="225" spans="3:3" x14ac:dyDescent="0.25">
      <c r="C225" s="84" t="str">
        <f>IF(ISNUMBER(#REF!),"T" &amp; (ROW()-1) &amp; ":","")</f>
        <v/>
      </c>
    </row>
    <row r="226" spans="3:3" x14ac:dyDescent="0.25">
      <c r="C226" s="84" t="str">
        <f>IF(ISNUMBER(#REF!),"T" &amp; (ROW()-1) &amp; ":","")</f>
        <v/>
      </c>
    </row>
    <row r="227" spans="3:3" x14ac:dyDescent="0.25">
      <c r="C227" s="84" t="str">
        <f>IF(ISNUMBER(#REF!),"T" &amp; (ROW()-1) &amp; ":","")</f>
        <v/>
      </c>
    </row>
    <row r="228" spans="3:3" x14ac:dyDescent="0.25">
      <c r="C228" s="84" t="str">
        <f>IF(ISNUMBER(#REF!),"T" &amp; (ROW()-1) &amp; ":","")</f>
        <v/>
      </c>
    </row>
    <row r="229" spans="3:3" x14ac:dyDescent="0.25">
      <c r="C229" s="84" t="str">
        <f>IF(ISNUMBER(#REF!),"T" &amp; (ROW()-1) &amp; ":","")</f>
        <v/>
      </c>
    </row>
    <row r="230" spans="3:3" x14ac:dyDescent="0.25">
      <c r="C230" s="84" t="str">
        <f>IF(ISNUMBER(#REF!),"T" &amp; (ROW()-1) &amp; ":","")</f>
        <v/>
      </c>
    </row>
    <row r="231" spans="3:3" x14ac:dyDescent="0.25">
      <c r="C231" s="84" t="str">
        <f>IF(ISNUMBER(#REF!),"T" &amp; (ROW()-1) &amp; ":","")</f>
        <v/>
      </c>
    </row>
    <row r="232" spans="3:3" x14ac:dyDescent="0.25">
      <c r="C232" s="84" t="str">
        <f>IF(ISNUMBER(#REF!),"T" &amp; (ROW()-1) &amp; ":","")</f>
        <v/>
      </c>
    </row>
    <row r="233" spans="3:3" x14ac:dyDescent="0.25">
      <c r="C233" s="84" t="str">
        <f>IF(ISNUMBER(#REF!),"T" &amp; (ROW()-1) &amp; ":","")</f>
        <v/>
      </c>
    </row>
    <row r="234" spans="3:3" x14ac:dyDescent="0.25">
      <c r="C234" s="84" t="str">
        <f>IF(ISNUMBER(#REF!),"T" &amp; (ROW()-1) &amp; ":","")</f>
        <v/>
      </c>
    </row>
    <row r="235" spans="3:3" x14ac:dyDescent="0.25">
      <c r="C235" s="84" t="str">
        <f>IF(ISNUMBER(#REF!),"T" &amp; (ROW()-1) &amp; ":","")</f>
        <v/>
      </c>
    </row>
    <row r="236" spans="3:3" x14ac:dyDescent="0.25">
      <c r="C236" s="84" t="str">
        <f>IF(ISNUMBER(#REF!),"T" &amp; (ROW()-1) &amp; ":","")</f>
        <v/>
      </c>
    </row>
    <row r="237" spans="3:3" x14ac:dyDescent="0.25">
      <c r="C237" s="84" t="str">
        <f>IF(ISNUMBER(#REF!),"T" &amp; (ROW()-1) &amp; ":","")</f>
        <v/>
      </c>
    </row>
    <row r="238" spans="3:3" x14ac:dyDescent="0.25">
      <c r="C238" s="84" t="str">
        <f>IF(ISNUMBER(#REF!),"T" &amp; (ROW()-1) &amp; ":","")</f>
        <v/>
      </c>
    </row>
    <row r="239" spans="3:3" x14ac:dyDescent="0.25">
      <c r="C239" s="84" t="str">
        <f>IF(ISNUMBER(#REF!),"T" &amp; (ROW()-1) &amp; ":","")</f>
        <v/>
      </c>
    </row>
    <row r="240" spans="3:3" x14ac:dyDescent="0.25">
      <c r="C240" s="84" t="str">
        <f>IF(ISNUMBER(#REF!),"T" &amp; (ROW()-1) &amp; ":","")</f>
        <v/>
      </c>
    </row>
    <row r="241" spans="3:3" x14ac:dyDescent="0.25">
      <c r="C241" s="84" t="str">
        <f>IF(ISNUMBER(#REF!),"T" &amp; (ROW()-1) &amp; ":","")</f>
        <v/>
      </c>
    </row>
    <row r="242" spans="3:3" x14ac:dyDescent="0.25">
      <c r="C242" s="84" t="str">
        <f>IF(ISNUMBER(#REF!),"T" &amp; (ROW()-1) &amp; ":","")</f>
        <v/>
      </c>
    </row>
    <row r="243" spans="3:3" x14ac:dyDescent="0.25">
      <c r="C243" s="84" t="str">
        <f>IF(ISNUMBER(#REF!),"T" &amp; (ROW()-1) &amp; ":","")</f>
        <v/>
      </c>
    </row>
    <row r="244" spans="3:3" x14ac:dyDescent="0.25">
      <c r="C244" s="84" t="str">
        <f>IF(ISNUMBER(#REF!),"T" &amp; (ROW()-1) &amp; ":","")</f>
        <v/>
      </c>
    </row>
    <row r="245" spans="3:3" x14ac:dyDescent="0.25">
      <c r="C245" s="84" t="str">
        <f>IF(ISNUMBER(#REF!),"T" &amp; (ROW()-1) &amp; ":","")</f>
        <v/>
      </c>
    </row>
    <row r="246" spans="3:3" x14ac:dyDescent="0.25">
      <c r="C246" s="84" t="str">
        <f>IF(ISNUMBER(#REF!),"T" &amp; (ROW()-1) &amp; ":","")</f>
        <v/>
      </c>
    </row>
    <row r="247" spans="3:3" x14ac:dyDescent="0.25">
      <c r="C247" s="84" t="str">
        <f>IF(ISNUMBER(#REF!),"T" &amp; (ROW()-1) &amp; ":","")</f>
        <v/>
      </c>
    </row>
    <row r="248" spans="3:3" x14ac:dyDescent="0.25">
      <c r="C248" s="84" t="str">
        <f>IF(ISNUMBER(#REF!),"T" &amp; (ROW()-1) &amp; ":","")</f>
        <v/>
      </c>
    </row>
    <row r="249" spans="3:3" x14ac:dyDescent="0.25">
      <c r="C249" s="84" t="str">
        <f>IF(ISNUMBER(#REF!),"T" &amp; (ROW()-1) &amp; ":","")</f>
        <v/>
      </c>
    </row>
    <row r="250" spans="3:3" x14ac:dyDescent="0.25">
      <c r="C250" s="84" t="str">
        <f>IF(ISNUMBER(#REF!),"T" &amp; (ROW()-1) &amp; ":","")</f>
        <v/>
      </c>
    </row>
    <row r="251" spans="3:3" x14ac:dyDescent="0.25">
      <c r="C251" s="84" t="str">
        <f>IF(ISNUMBER(#REF!),"T" &amp; (ROW()-1) &amp; ":","")</f>
        <v/>
      </c>
    </row>
    <row r="252" spans="3:3" x14ac:dyDescent="0.25">
      <c r="C252" s="84" t="str">
        <f>IF(ISNUMBER(#REF!),"T" &amp; (ROW()-1) &amp; ":","")</f>
        <v/>
      </c>
    </row>
    <row r="253" spans="3:3" x14ac:dyDescent="0.25">
      <c r="C253" s="84" t="str">
        <f>IF(ISNUMBER(#REF!),"T" &amp; (ROW()-1) &amp; ":","")</f>
        <v/>
      </c>
    </row>
    <row r="254" spans="3:3" x14ac:dyDescent="0.25">
      <c r="C254" s="84" t="str">
        <f>IF(ISNUMBER(#REF!),"T" &amp; (ROW()-1) &amp; ":","")</f>
        <v/>
      </c>
    </row>
    <row r="255" spans="3:3" x14ac:dyDescent="0.25">
      <c r="C255" s="84" t="str">
        <f>IF(ISNUMBER(#REF!),"T" &amp; (ROW()-1) &amp; ":","")</f>
        <v/>
      </c>
    </row>
    <row r="256" spans="3:3" x14ac:dyDescent="0.25">
      <c r="C256" s="84" t="str">
        <f>IF(ISNUMBER(#REF!),"T" &amp; (ROW()-1) &amp; ":","")</f>
        <v/>
      </c>
    </row>
    <row r="257" spans="3:3" x14ac:dyDescent="0.25">
      <c r="C257" s="84" t="str">
        <f>IF(ISNUMBER(#REF!),"T" &amp; (ROW()-1) &amp; ":","")</f>
        <v/>
      </c>
    </row>
    <row r="258" spans="3:3" x14ac:dyDescent="0.25">
      <c r="C258" s="84" t="str">
        <f>IF(ISNUMBER(#REF!),"T" &amp; (ROW()-1) &amp; ":","")</f>
        <v/>
      </c>
    </row>
    <row r="259" spans="3:3" x14ac:dyDescent="0.25">
      <c r="C259" s="84" t="str">
        <f>IF(ISNUMBER(#REF!),"T" &amp; (ROW()-1) &amp; ":","")</f>
        <v/>
      </c>
    </row>
    <row r="260" spans="3:3" x14ac:dyDescent="0.25">
      <c r="C260" s="84" t="str">
        <f>IF(ISNUMBER(#REF!),"T" &amp; (ROW()-1) &amp; ":","")</f>
        <v/>
      </c>
    </row>
    <row r="261" spans="3:3" x14ac:dyDescent="0.25">
      <c r="C261" s="84" t="str">
        <f>IF(ISNUMBER(#REF!),"T" &amp; (ROW()-1) &amp; ":","")</f>
        <v/>
      </c>
    </row>
    <row r="262" spans="3:3" x14ac:dyDescent="0.25">
      <c r="C262" s="84" t="str">
        <f>IF(ISNUMBER(#REF!),"T" &amp; (ROW()-1) &amp; ":","")</f>
        <v/>
      </c>
    </row>
    <row r="263" spans="3:3" x14ac:dyDescent="0.25">
      <c r="C263" s="84" t="str">
        <f>IF(ISNUMBER(#REF!),"T" &amp; (ROW()-1) &amp; ":","")</f>
        <v/>
      </c>
    </row>
    <row r="264" spans="3:3" x14ac:dyDescent="0.25">
      <c r="C264" s="84" t="str">
        <f>IF(ISNUMBER(#REF!),"T" &amp; (ROW()-1) &amp; ":","")</f>
        <v/>
      </c>
    </row>
    <row r="265" spans="3:3" x14ac:dyDescent="0.25">
      <c r="C265" s="84" t="str">
        <f>IF(ISNUMBER(#REF!),"T" &amp; (ROW()-1) &amp; ":","")</f>
        <v/>
      </c>
    </row>
    <row r="266" spans="3:3" x14ac:dyDescent="0.25">
      <c r="C266" s="84" t="str">
        <f>IF(ISNUMBER(#REF!),"T" &amp; (ROW()-1) &amp; ":","")</f>
        <v/>
      </c>
    </row>
    <row r="267" spans="3:3" x14ac:dyDescent="0.25">
      <c r="C267" s="84" t="str">
        <f>IF(ISNUMBER(#REF!),"T" &amp; (ROW()-1) &amp; ":","")</f>
        <v/>
      </c>
    </row>
    <row r="268" spans="3:3" x14ac:dyDescent="0.25">
      <c r="C268" s="84" t="str">
        <f>IF(ISNUMBER(#REF!),"T" &amp; (ROW()-1) &amp; ":","")</f>
        <v/>
      </c>
    </row>
    <row r="269" spans="3:3" x14ac:dyDescent="0.25">
      <c r="C269" s="84" t="str">
        <f>IF(ISNUMBER(#REF!),"T" &amp; (ROW()-1) &amp; ":","")</f>
        <v/>
      </c>
    </row>
    <row r="270" spans="3:3" x14ac:dyDescent="0.25">
      <c r="C270" s="84" t="str">
        <f>IF(ISNUMBER(#REF!),"T" &amp; (ROW()-1) &amp; ":","")</f>
        <v/>
      </c>
    </row>
    <row r="271" spans="3:3" x14ac:dyDescent="0.25">
      <c r="C271" s="84" t="str">
        <f>IF(ISNUMBER(#REF!),"T" &amp; (ROW()-1) &amp; ":","")</f>
        <v/>
      </c>
    </row>
    <row r="272" spans="3:3" x14ac:dyDescent="0.25">
      <c r="C272" s="84" t="str">
        <f>IF(ISNUMBER(#REF!),"T" &amp; (ROW()-1) &amp; ":","")</f>
        <v/>
      </c>
    </row>
    <row r="273" spans="3:3" x14ac:dyDescent="0.25">
      <c r="C273" s="84" t="str">
        <f>IF(ISNUMBER(#REF!),"T" &amp; (ROW()-1) &amp; ":","")</f>
        <v/>
      </c>
    </row>
    <row r="274" spans="3:3" x14ac:dyDescent="0.25">
      <c r="C274" s="84" t="str">
        <f>IF(ISNUMBER(#REF!),"T" &amp; (ROW()-1) &amp; ":","")</f>
        <v/>
      </c>
    </row>
    <row r="275" spans="3:3" x14ac:dyDescent="0.25">
      <c r="C275" s="84" t="str">
        <f>IF(ISNUMBER(#REF!),"T" &amp; (ROW()-1) &amp; ":","")</f>
        <v/>
      </c>
    </row>
    <row r="276" spans="3:3" x14ac:dyDescent="0.25">
      <c r="C276" s="84" t="str">
        <f>IF(ISNUMBER(#REF!),"T" &amp; (ROW()-1) &amp; ":","")</f>
        <v/>
      </c>
    </row>
    <row r="277" spans="3:3" x14ac:dyDescent="0.25">
      <c r="C277" s="84" t="str">
        <f>IF(ISNUMBER(#REF!),"T" &amp; (ROW()-1) &amp; ":","")</f>
        <v/>
      </c>
    </row>
    <row r="278" spans="3:3" x14ac:dyDescent="0.25">
      <c r="C278" s="84" t="str">
        <f>IF(ISNUMBER(#REF!),"T" &amp; (ROW()-1) &amp; ":","")</f>
        <v/>
      </c>
    </row>
    <row r="279" spans="3:3" x14ac:dyDescent="0.25">
      <c r="C279" s="84" t="str">
        <f>IF(ISNUMBER(#REF!),"T" &amp; (ROW()-1) &amp; ":","")</f>
        <v/>
      </c>
    </row>
    <row r="280" spans="3:3" x14ac:dyDescent="0.25">
      <c r="C280" s="84" t="str">
        <f>IF(ISNUMBER(#REF!),"T" &amp; (ROW()-1) &amp; ":","")</f>
        <v/>
      </c>
    </row>
    <row r="281" spans="3:3" x14ac:dyDescent="0.25">
      <c r="C281" s="84" t="str">
        <f>IF(ISNUMBER(#REF!),"T" &amp; (ROW()-1) &amp; ":","")</f>
        <v/>
      </c>
    </row>
    <row r="282" spans="3:3" x14ac:dyDescent="0.25">
      <c r="C282" s="84" t="str">
        <f>IF(ISNUMBER(#REF!),"T" &amp; (ROW()-1) &amp; ":","")</f>
        <v/>
      </c>
    </row>
    <row r="283" spans="3:3" x14ac:dyDescent="0.25">
      <c r="C283" s="84" t="str">
        <f>IF(ISNUMBER(#REF!),"T" &amp; (ROW()-1) &amp; ":","")</f>
        <v/>
      </c>
    </row>
    <row r="284" spans="3:3" x14ac:dyDescent="0.25">
      <c r="C284" s="84" t="str">
        <f>IF(ISNUMBER(#REF!),"T" &amp; (ROW()-1) &amp; ":","")</f>
        <v/>
      </c>
    </row>
    <row r="285" spans="3:3" x14ac:dyDescent="0.25">
      <c r="C285" s="84" t="str">
        <f>IF(ISNUMBER(#REF!),"T" &amp; (ROW()-1) &amp; ":","")</f>
        <v/>
      </c>
    </row>
    <row r="286" spans="3:3" x14ac:dyDescent="0.25">
      <c r="C286" s="84" t="str">
        <f>IF(ISNUMBER(#REF!),"T" &amp; (ROW()-1) &amp; ":","")</f>
        <v/>
      </c>
    </row>
    <row r="287" spans="3:3" x14ac:dyDescent="0.25">
      <c r="C287" s="84" t="str">
        <f>IF(ISNUMBER(#REF!),"T" &amp; (ROW()-1) &amp; ":","")</f>
        <v/>
      </c>
    </row>
    <row r="288" spans="3:3" x14ac:dyDescent="0.25">
      <c r="C288" s="84" t="str">
        <f>IF(ISNUMBER(#REF!),"T" &amp; (ROW()-1) &amp; ":","")</f>
        <v/>
      </c>
    </row>
    <row r="289" spans="3:3" x14ac:dyDescent="0.25">
      <c r="C289" s="84" t="str">
        <f>IF(ISNUMBER(#REF!),"T" &amp; (ROW()-1) &amp; ":","")</f>
        <v/>
      </c>
    </row>
    <row r="290" spans="3:3" x14ac:dyDescent="0.25">
      <c r="C290" s="84" t="str">
        <f>IF(ISNUMBER(#REF!),"T" &amp; (ROW()-1) &amp; ":","")</f>
        <v/>
      </c>
    </row>
    <row r="291" spans="3:3" x14ac:dyDescent="0.25">
      <c r="C291" s="84" t="str">
        <f>IF(ISNUMBER(#REF!),"T" &amp; (ROW()-1) &amp; ":","")</f>
        <v/>
      </c>
    </row>
    <row r="292" spans="3:3" x14ac:dyDescent="0.25">
      <c r="C292" s="84" t="str">
        <f>IF(ISNUMBER(#REF!),"T" &amp; (ROW()-1) &amp; ":","")</f>
        <v/>
      </c>
    </row>
    <row r="293" spans="3:3" x14ac:dyDescent="0.25">
      <c r="C293" s="84" t="str">
        <f>IF(ISNUMBER(#REF!),"T" &amp; (ROW()-1) &amp; ":","")</f>
        <v/>
      </c>
    </row>
    <row r="294" spans="3:3" x14ac:dyDescent="0.25">
      <c r="C294" s="84" t="str">
        <f>IF(ISNUMBER(#REF!),"T" &amp; (ROW()-1) &amp; ":","")</f>
        <v/>
      </c>
    </row>
    <row r="295" spans="3:3" x14ac:dyDescent="0.25">
      <c r="C295" s="84" t="str">
        <f>IF(ISNUMBER(#REF!),"T" &amp; (ROW()-1) &amp; ":","")</f>
        <v/>
      </c>
    </row>
    <row r="296" spans="3:3" x14ac:dyDescent="0.25">
      <c r="C296" s="84" t="str">
        <f>IF(ISNUMBER(#REF!),"T" &amp; (ROW()-1) &amp; ":","")</f>
        <v/>
      </c>
    </row>
    <row r="297" spans="3:3" x14ac:dyDescent="0.25">
      <c r="C297" s="84" t="str">
        <f>IF(ISNUMBER(#REF!),"T" &amp; (ROW()-1) &amp; ":","")</f>
        <v/>
      </c>
    </row>
    <row r="298" spans="3:3" x14ac:dyDescent="0.25">
      <c r="C298" s="84" t="str">
        <f>IF(ISNUMBER(#REF!),"T" &amp; (ROW()-1) &amp; ":","")</f>
        <v/>
      </c>
    </row>
    <row r="299" spans="3:3" x14ac:dyDescent="0.25">
      <c r="C299" s="84" t="str">
        <f>IF(ISNUMBER(#REF!),"T" &amp; (ROW()-1) &amp; ":","")</f>
        <v/>
      </c>
    </row>
    <row r="300" spans="3:3" x14ac:dyDescent="0.25">
      <c r="C300" s="84" t="str">
        <f>IF(ISNUMBER(#REF!),"T" &amp; (ROW()-1) &amp; ":","")</f>
        <v/>
      </c>
    </row>
    <row r="301" spans="3:3" x14ac:dyDescent="0.25">
      <c r="C301" s="84" t="str">
        <f>IF(ISNUMBER(#REF!),"T" &amp; (ROW()-1) &amp; ":","")</f>
        <v/>
      </c>
    </row>
    <row r="302" spans="3:3" x14ac:dyDescent="0.25">
      <c r="C302" s="84" t="str">
        <f>IF(ISNUMBER(#REF!),"T" &amp; (ROW()-1) &amp; ":","")</f>
        <v/>
      </c>
    </row>
    <row r="303" spans="3:3" x14ac:dyDescent="0.25">
      <c r="C303" s="84" t="str">
        <f>IF(ISNUMBER(#REF!),"T" &amp; (ROW()-1) &amp; ":","")</f>
        <v/>
      </c>
    </row>
    <row r="304" spans="3:3" x14ac:dyDescent="0.25">
      <c r="C304" s="84" t="str">
        <f>IF(ISNUMBER(#REF!),"T" &amp; (ROW()-1) &amp; ":","")</f>
        <v/>
      </c>
    </row>
    <row r="305" spans="3:3" x14ac:dyDescent="0.25">
      <c r="C305" s="84" t="str">
        <f>IF(ISNUMBER(#REF!),"T" &amp; (ROW()-1) &amp; ":","")</f>
        <v/>
      </c>
    </row>
    <row r="306" spans="3:3" x14ac:dyDescent="0.25">
      <c r="C306" s="84" t="str">
        <f>IF(ISNUMBER(#REF!),"T" &amp; (ROW()-1) &amp; ":","")</f>
        <v/>
      </c>
    </row>
    <row r="307" spans="3:3" x14ac:dyDescent="0.25">
      <c r="C307" s="84" t="str">
        <f>IF(ISNUMBER(#REF!),"T" &amp; (ROW()-1) &amp; ":","")</f>
        <v/>
      </c>
    </row>
    <row r="308" spans="3:3" x14ac:dyDescent="0.25">
      <c r="C308" s="84" t="str">
        <f>IF(ISNUMBER(#REF!),"T" &amp; (ROW()-1) &amp; ":","")</f>
        <v/>
      </c>
    </row>
    <row r="309" spans="3:3" x14ac:dyDescent="0.25">
      <c r="C309" s="84" t="str">
        <f>IF(ISNUMBER(#REF!),"T" &amp; (ROW()-1) &amp; ":","")</f>
        <v/>
      </c>
    </row>
    <row r="310" spans="3:3" x14ac:dyDescent="0.25">
      <c r="C310" s="84" t="str">
        <f>IF(ISNUMBER(#REF!),"T" &amp; (ROW()-1) &amp; ":","")</f>
        <v/>
      </c>
    </row>
    <row r="311" spans="3:3" x14ac:dyDescent="0.25">
      <c r="C311" s="84" t="str">
        <f>IF(ISNUMBER(#REF!),"T" &amp; (ROW()-1) &amp; ":","")</f>
        <v/>
      </c>
    </row>
    <row r="312" spans="3:3" x14ac:dyDescent="0.25">
      <c r="C312" s="84" t="str">
        <f>IF(ISNUMBER(#REF!),"T" &amp; (ROW()-1) &amp; ":","")</f>
        <v/>
      </c>
    </row>
    <row r="313" spans="3:3" x14ac:dyDescent="0.25">
      <c r="C313" s="84" t="str">
        <f>IF(ISNUMBER(#REF!),"T" &amp; (ROW()-1) &amp; ":","")</f>
        <v/>
      </c>
    </row>
    <row r="314" spans="3:3" x14ac:dyDescent="0.25">
      <c r="C314" s="84" t="str">
        <f>IF(ISNUMBER(#REF!),"T" &amp; (ROW()-1) &amp; ":","")</f>
        <v/>
      </c>
    </row>
    <row r="315" spans="3:3" x14ac:dyDescent="0.25">
      <c r="C315" s="84" t="str">
        <f>IF(ISNUMBER(#REF!),"T" &amp; (ROW()-1) &amp; ":","")</f>
        <v/>
      </c>
    </row>
    <row r="316" spans="3:3" x14ac:dyDescent="0.25">
      <c r="C316" s="84" t="str">
        <f>IF(ISNUMBER(#REF!),"T" &amp; (ROW()-1) &amp; ":","")</f>
        <v/>
      </c>
    </row>
    <row r="317" spans="3:3" x14ac:dyDescent="0.25">
      <c r="C317" s="84" t="str">
        <f>IF(ISNUMBER(#REF!),"T" &amp; (ROW()-1) &amp; ":","")</f>
        <v/>
      </c>
    </row>
    <row r="318" spans="3:3" x14ac:dyDescent="0.25">
      <c r="C318" s="84" t="str">
        <f>IF(ISNUMBER(#REF!),"T" &amp; (ROW()-1) &amp; ":","")</f>
        <v/>
      </c>
    </row>
    <row r="319" spans="3:3" x14ac:dyDescent="0.25">
      <c r="C319" s="84" t="str">
        <f>IF(ISNUMBER(#REF!),"T" &amp; (ROW()-1) &amp; ":","")</f>
        <v/>
      </c>
    </row>
    <row r="320" spans="3:3" x14ac:dyDescent="0.25">
      <c r="C320" s="84" t="str">
        <f>IF(ISNUMBER(#REF!),"T" &amp; (ROW()-1) &amp; ":","")</f>
        <v/>
      </c>
    </row>
    <row r="321" spans="3:3" x14ac:dyDescent="0.25">
      <c r="C321" s="84" t="str">
        <f>IF(ISNUMBER(#REF!),"T" &amp; (ROW()-1) &amp; ":","")</f>
        <v/>
      </c>
    </row>
    <row r="322" spans="3:3" x14ac:dyDescent="0.25">
      <c r="C322" s="84" t="str">
        <f>IF(ISNUMBER(#REF!),"T" &amp; (ROW()-1) &amp; ":","")</f>
        <v/>
      </c>
    </row>
    <row r="323" spans="3:3" x14ac:dyDescent="0.25">
      <c r="C323" s="84" t="str">
        <f>IF(ISNUMBER(#REF!),"T" &amp; (ROW()-1) &amp; ":","")</f>
        <v/>
      </c>
    </row>
    <row r="324" spans="3:3" x14ac:dyDescent="0.25">
      <c r="C324" s="84" t="str">
        <f>IF(ISNUMBER(#REF!),"T" &amp; (ROW()-1) &amp; ":","")</f>
        <v/>
      </c>
    </row>
    <row r="325" spans="3:3" x14ac:dyDescent="0.25">
      <c r="C325" s="84" t="str">
        <f>IF(ISNUMBER(#REF!),"T" &amp; (ROW()-1) &amp; ":","")</f>
        <v/>
      </c>
    </row>
    <row r="326" spans="3:3" x14ac:dyDescent="0.25">
      <c r="C326" s="84" t="str">
        <f>IF(ISNUMBER(#REF!),"T" &amp; (ROW()-1) &amp; ":","")</f>
        <v/>
      </c>
    </row>
    <row r="327" spans="3:3" x14ac:dyDescent="0.25">
      <c r="C327" s="84" t="str">
        <f>IF(ISNUMBER(#REF!),"T" &amp; (ROW()-1) &amp; ":","")</f>
        <v/>
      </c>
    </row>
    <row r="328" spans="3:3" x14ac:dyDescent="0.25">
      <c r="C328" s="84" t="str">
        <f>IF(ISNUMBER(#REF!),"T" &amp; (ROW()-1) &amp; ":","")</f>
        <v/>
      </c>
    </row>
    <row r="329" spans="3:3" x14ac:dyDescent="0.25">
      <c r="C329" s="84" t="str">
        <f>IF(ISNUMBER(#REF!),"T" &amp; (ROW()-1) &amp; ":","")</f>
        <v/>
      </c>
    </row>
    <row r="330" spans="3:3" x14ac:dyDescent="0.25">
      <c r="C330" s="84" t="str">
        <f>IF(ISNUMBER(#REF!),"T" &amp; (ROW()-1) &amp; ":","")</f>
        <v/>
      </c>
    </row>
    <row r="331" spans="3:3" x14ac:dyDescent="0.25">
      <c r="C331" s="84" t="str">
        <f>IF(ISNUMBER(#REF!),"T" &amp; (ROW()-1) &amp; ":","")</f>
        <v/>
      </c>
    </row>
    <row r="332" spans="3:3" x14ac:dyDescent="0.25">
      <c r="C332" s="84" t="str">
        <f>IF(ISNUMBER(#REF!),"T" &amp; (ROW()-1) &amp; ":","")</f>
        <v/>
      </c>
    </row>
    <row r="333" spans="3:3" x14ac:dyDescent="0.25">
      <c r="C333" s="84" t="str">
        <f>IF(ISNUMBER(#REF!),"T" &amp; (ROW()-1) &amp; ":","")</f>
        <v/>
      </c>
    </row>
    <row r="334" spans="3:3" x14ac:dyDescent="0.25">
      <c r="C334" s="84" t="str">
        <f>IF(ISNUMBER(#REF!),"T" &amp; (ROW()-1) &amp; ":","")</f>
        <v/>
      </c>
    </row>
    <row r="335" spans="3:3" x14ac:dyDescent="0.25">
      <c r="C335" s="84" t="str">
        <f>IF(ISNUMBER(#REF!),"T" &amp; (ROW()-1) &amp; ":","")</f>
        <v/>
      </c>
    </row>
    <row r="336" spans="3:3" x14ac:dyDescent="0.25">
      <c r="C336" s="84" t="str">
        <f>IF(ISNUMBER(#REF!),"T" &amp; (ROW()-1) &amp; ":","")</f>
        <v/>
      </c>
    </row>
    <row r="337" spans="3:3" x14ac:dyDescent="0.25">
      <c r="C337" s="84" t="str">
        <f>IF(ISNUMBER(#REF!),"T" &amp; (ROW()-1) &amp; ":","")</f>
        <v/>
      </c>
    </row>
    <row r="338" spans="3:3" x14ac:dyDescent="0.25">
      <c r="C338" s="84" t="str">
        <f>IF(ISNUMBER(#REF!),"T" &amp; (ROW()-1) &amp; ":","")</f>
        <v/>
      </c>
    </row>
    <row r="339" spans="3:3" x14ac:dyDescent="0.25">
      <c r="C339" s="84" t="str">
        <f>IF(ISNUMBER(#REF!),"T" &amp; (ROW()-1) &amp; ":","")</f>
        <v/>
      </c>
    </row>
    <row r="340" spans="3:3" x14ac:dyDescent="0.25">
      <c r="C340" s="84" t="str">
        <f>IF(ISNUMBER(#REF!),"T" &amp; (ROW()-1) &amp; ":","")</f>
        <v/>
      </c>
    </row>
    <row r="341" spans="3:3" x14ac:dyDescent="0.25">
      <c r="C341" s="84" t="str">
        <f>IF(ISNUMBER(#REF!),"T" &amp; (ROW()-1) &amp; ":","")</f>
        <v/>
      </c>
    </row>
    <row r="342" spans="3:3" x14ac:dyDescent="0.25">
      <c r="C342" s="84" t="str">
        <f>IF(ISNUMBER(#REF!),"T" &amp; (ROW()-1) &amp; ":","")</f>
        <v/>
      </c>
    </row>
    <row r="343" spans="3:3" x14ac:dyDescent="0.25">
      <c r="C343" s="84" t="str">
        <f>IF(ISNUMBER(#REF!),"T" &amp; (ROW()-1) &amp; ":","")</f>
        <v/>
      </c>
    </row>
    <row r="344" spans="3:3" x14ac:dyDescent="0.25">
      <c r="C344" s="84" t="str">
        <f>IF(ISNUMBER(#REF!),"T" &amp; (ROW()-1) &amp; ":","")</f>
        <v/>
      </c>
    </row>
    <row r="345" spans="3:3" x14ac:dyDescent="0.25">
      <c r="C345" s="84" t="str">
        <f>IF(ISNUMBER(#REF!),"T" &amp; (ROW()-1) &amp; ":","")</f>
        <v/>
      </c>
    </row>
    <row r="346" spans="3:3" x14ac:dyDescent="0.25">
      <c r="C346" s="84" t="str">
        <f>IF(ISNUMBER(#REF!),"T" &amp; (ROW()-1) &amp; ":","")</f>
        <v/>
      </c>
    </row>
    <row r="347" spans="3:3" x14ac:dyDescent="0.25">
      <c r="C347" s="84" t="str">
        <f>IF(ISNUMBER(#REF!),"T" &amp; (ROW()-1) &amp; ":","")</f>
        <v/>
      </c>
    </row>
    <row r="348" spans="3:3" x14ac:dyDescent="0.25">
      <c r="C348" s="84" t="str">
        <f>IF(ISNUMBER(#REF!),"T" &amp; (ROW()-1) &amp; ":","")</f>
        <v/>
      </c>
    </row>
    <row r="349" spans="3:3" x14ac:dyDescent="0.25">
      <c r="C349" s="84" t="str">
        <f>IF(ISNUMBER(#REF!),"T" &amp; (ROW()-1) &amp; ":","")</f>
        <v/>
      </c>
    </row>
    <row r="350" spans="3:3" x14ac:dyDescent="0.25">
      <c r="C350" s="84" t="str">
        <f>IF(ISNUMBER(#REF!),"T" &amp; (ROW()-1) &amp; ":","")</f>
        <v/>
      </c>
    </row>
    <row r="351" spans="3:3" x14ac:dyDescent="0.25">
      <c r="C351" s="84" t="str">
        <f>IF(ISNUMBER(#REF!),"T" &amp; (ROW()-1) &amp; ":","")</f>
        <v/>
      </c>
    </row>
    <row r="352" spans="3:3" x14ac:dyDescent="0.25">
      <c r="C352" s="84" t="str">
        <f>IF(ISNUMBER(#REF!),"T" &amp; (ROW()-1) &amp; ":","")</f>
        <v/>
      </c>
    </row>
    <row r="353" spans="3:3" x14ac:dyDescent="0.25">
      <c r="C353" s="84" t="str">
        <f>IF(ISNUMBER(#REF!),"T" &amp; (ROW()-1) &amp; ":","")</f>
        <v/>
      </c>
    </row>
    <row r="354" spans="3:3" x14ac:dyDescent="0.25">
      <c r="C354" s="84" t="str">
        <f>IF(ISNUMBER(#REF!),"T" &amp; (ROW()-1) &amp; ":","")</f>
        <v/>
      </c>
    </row>
    <row r="355" spans="3:3" x14ac:dyDescent="0.25">
      <c r="C355" s="84" t="str">
        <f>IF(ISNUMBER(#REF!),"T" &amp; (ROW()-1) &amp; ":","")</f>
        <v/>
      </c>
    </row>
    <row r="356" spans="3:3" x14ac:dyDescent="0.25">
      <c r="C356" s="84" t="str">
        <f>IF(ISNUMBER(#REF!),"T" &amp; (ROW()-1) &amp; ":","")</f>
        <v/>
      </c>
    </row>
    <row r="357" spans="3:3" x14ac:dyDescent="0.25">
      <c r="C357" s="84" t="str">
        <f>IF(ISNUMBER(#REF!),"T" &amp; (ROW()-1) &amp; ":","")</f>
        <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K24"/>
  <sheetViews>
    <sheetView workbookViewId="0">
      <selection activeCell="E13" sqref="E13"/>
    </sheetView>
  </sheetViews>
  <sheetFormatPr defaultRowHeight="15" x14ac:dyDescent="0.25"/>
  <cols>
    <col min="1" max="1" width="2.85546875" customWidth="1"/>
    <col min="2" max="2" width="19.140625" bestFit="1" customWidth="1"/>
    <col min="7" max="7" width="19.140625" bestFit="1" customWidth="1"/>
  </cols>
  <sheetData>
    <row r="1" spans="2:11" ht="15.75" thickBot="1" x14ac:dyDescent="0.3">
      <c r="G1" t="s">
        <v>855</v>
      </c>
    </row>
    <row r="2" spans="2:11" x14ac:dyDescent="0.25">
      <c r="B2" s="143" t="s">
        <v>830</v>
      </c>
      <c r="C2" s="150">
        <v>1</v>
      </c>
      <c r="D2" s="150">
        <v>2</v>
      </c>
      <c r="E2" s="151">
        <v>3</v>
      </c>
      <c r="G2" s="143" t="s">
        <v>830</v>
      </c>
      <c r="H2" s="150">
        <v>1</v>
      </c>
      <c r="I2" s="150">
        <v>2</v>
      </c>
      <c r="J2" s="151">
        <v>3</v>
      </c>
    </row>
    <row r="3" spans="2:11" x14ac:dyDescent="0.25">
      <c r="B3" s="144" t="s">
        <v>836</v>
      </c>
      <c r="C3" s="157">
        <f>Rates!I2/100</f>
        <v>-3.1210000000000001E-3</v>
      </c>
      <c r="D3" s="157">
        <f>Rates!J2/100</f>
        <v>-2.9500000000000004E-3</v>
      </c>
      <c r="E3" s="158">
        <f>Rates!K2/100</f>
        <v>-2.5500000000000002E-3</v>
      </c>
      <c r="G3" s="144" t="s">
        <v>836</v>
      </c>
      <c r="H3" s="138">
        <f>-0.235/100</f>
        <v>-2.3499999999999997E-3</v>
      </c>
      <c r="I3" s="138">
        <f>-0.145/100</f>
        <v>-1.4499999999999999E-3</v>
      </c>
      <c r="J3" s="139">
        <f>-0.015/100</f>
        <v>-1.4999999999999999E-4</v>
      </c>
      <c r="K3" s="105"/>
    </row>
    <row r="4" spans="2:11" x14ac:dyDescent="0.25">
      <c r="B4" s="144" t="s">
        <v>835</v>
      </c>
      <c r="C4" s="157">
        <f>C3</f>
        <v>-3.1210000000000001E-3</v>
      </c>
      <c r="D4" s="157">
        <f t="array" ref="D4">((1+D3)/(1-SUM(D3/(1+$C$4:C4)^$C$2:C2)))^(1/D2)-1</f>
        <v>-2.9502522681698062E-3</v>
      </c>
      <c r="E4" s="158">
        <f t="array" ref="E4">((1+E3)/(1-SUM(E3/(1+$C$4:D4)^$C$2:D2)))^(1/E2)-1</f>
        <v>-2.5511652255629791E-3</v>
      </c>
      <c r="G4" s="144" t="s">
        <v>835</v>
      </c>
      <c r="H4" s="138">
        <f>H3</f>
        <v>-2.3499999999999997E-3</v>
      </c>
      <c r="I4" s="138">
        <f t="array" ref="I4">((1+I3)/(1-SUM(I3/(1+$H$4:H4)^$H$2:H2)))^(1/I2)-1</f>
        <v>-1.4506530879925261E-3</v>
      </c>
      <c r="J4" s="139">
        <f t="array" ref="J4">((1+J3)/(1-SUM(J3/(1+$H$4:I4)^$H$2:I2)))^(1/J2)-1</f>
        <v>-1.5024054546042276E-4</v>
      </c>
    </row>
    <row r="5" spans="2:11" x14ac:dyDescent="0.25">
      <c r="B5" s="144"/>
      <c r="C5" s="138"/>
      <c r="D5" s="138"/>
      <c r="E5" s="139"/>
      <c r="G5" s="144"/>
      <c r="H5" s="138"/>
      <c r="I5" s="138"/>
      <c r="J5" s="139"/>
    </row>
    <row r="6" spans="2:11" s="105" customFormat="1" x14ac:dyDescent="0.25">
      <c r="B6" s="144" t="s">
        <v>853</v>
      </c>
      <c r="C6" s="157">
        <f>LN(1+C4)</f>
        <v>-3.1258804777929612E-3</v>
      </c>
      <c r="D6" s="157">
        <f t="shared" ref="D6:E6" si="0">LN(1+D4)</f>
        <v>-2.9546128410312773E-3</v>
      </c>
      <c r="E6" s="158">
        <f t="shared" si="0"/>
        <v>-2.5544249928840025E-3</v>
      </c>
      <c r="G6" s="144" t="s">
        <v>853</v>
      </c>
      <c r="H6" s="138">
        <f>LN(1+H4)</f>
        <v>-2.3527655835971603E-3</v>
      </c>
      <c r="I6" s="138">
        <f t="shared" ref="I6:J6" si="1">LN(1+I4)</f>
        <v>-1.451706303873852E-3</v>
      </c>
      <c r="J6" s="139">
        <f t="shared" si="1"/>
        <v>-1.5025183270172122E-4</v>
      </c>
    </row>
    <row r="7" spans="2:11" x14ac:dyDescent="0.25">
      <c r="B7" s="144" t="s">
        <v>852</v>
      </c>
      <c r="C7" s="152" t="s">
        <v>831</v>
      </c>
      <c r="D7" s="152" t="s">
        <v>832</v>
      </c>
      <c r="E7" s="139"/>
      <c r="G7" s="144" t="s">
        <v>852</v>
      </c>
      <c r="H7" s="152" t="s">
        <v>831</v>
      </c>
      <c r="I7" s="152" t="s">
        <v>832</v>
      </c>
      <c r="J7" s="139"/>
    </row>
    <row r="8" spans="2:11" ht="15.75" thickBot="1" x14ac:dyDescent="0.3">
      <c r="B8" s="140"/>
      <c r="C8" s="159">
        <f>(D6*D2-C6*C2)/(D2-C2)</f>
        <v>-2.7833452042695934E-3</v>
      </c>
      <c r="D8" s="159">
        <f>(E6*E2-D6*D2)/(E2-D2)</f>
        <v>-1.7540492965894532E-3</v>
      </c>
      <c r="E8" s="142"/>
      <c r="G8" s="140"/>
      <c r="H8" s="141">
        <f>(I6*I2-H6*H2)/(I2-H2)</f>
        <v>-5.5064702415054357E-4</v>
      </c>
      <c r="I8" s="141">
        <f>(J6*J2-I6*I2)/(J2-I2)</f>
        <v>2.4526571096425403E-3</v>
      </c>
      <c r="J8" s="142"/>
    </row>
    <row r="12" spans="2:11" x14ac:dyDescent="0.25">
      <c r="B12" s="97"/>
      <c r="C12" s="97"/>
    </row>
    <row r="13" spans="2:11" x14ac:dyDescent="0.25">
      <c r="B13" s="98"/>
      <c r="C13" s="98"/>
      <c r="D13" s="98"/>
      <c r="E13" s="98"/>
      <c r="F13" s="98"/>
      <c r="G13" s="98"/>
    </row>
    <row r="14" spans="2:11" x14ac:dyDescent="0.25">
      <c r="B14" s="98"/>
      <c r="C14" s="98"/>
      <c r="D14" s="98"/>
      <c r="E14" s="98"/>
      <c r="F14" s="98"/>
      <c r="G14" s="98"/>
    </row>
    <row r="15" spans="2:11" x14ac:dyDescent="0.25">
      <c r="B15" s="98"/>
      <c r="C15" s="98"/>
      <c r="D15" s="98"/>
      <c r="E15" s="98"/>
      <c r="F15" s="98"/>
      <c r="G15" s="98"/>
    </row>
    <row r="16" spans="2:11" x14ac:dyDescent="0.25">
      <c r="B16" s="98"/>
      <c r="C16" s="98"/>
      <c r="D16" s="98"/>
      <c r="E16" s="106"/>
      <c r="F16" s="98"/>
      <c r="G16" s="98"/>
    </row>
    <row r="17" spans="2:7" x14ac:dyDescent="0.25">
      <c r="B17" s="98"/>
      <c r="C17" s="98"/>
      <c r="D17" s="98"/>
      <c r="E17" s="106"/>
      <c r="F17" s="98"/>
      <c r="G17" s="98"/>
    </row>
    <row r="18" spans="2:7" x14ac:dyDescent="0.25">
      <c r="B18" s="98"/>
      <c r="C18" s="106"/>
      <c r="D18" s="106"/>
      <c r="E18" s="106"/>
      <c r="F18" s="98"/>
      <c r="G18" s="98"/>
    </row>
    <row r="19" spans="2:7" x14ac:dyDescent="0.25">
      <c r="B19" s="98"/>
      <c r="C19" s="98"/>
      <c r="D19" s="98"/>
      <c r="E19" s="98"/>
      <c r="F19" s="98"/>
      <c r="G19" s="98"/>
    </row>
    <row r="20" spans="2:7" x14ac:dyDescent="0.25">
      <c r="B20" s="98"/>
      <c r="C20" s="98"/>
      <c r="D20" s="98"/>
      <c r="E20" s="98"/>
      <c r="F20" s="98"/>
      <c r="G20" s="98"/>
    </row>
    <row r="21" spans="2:7" x14ac:dyDescent="0.25">
      <c r="B21" s="98"/>
      <c r="C21" s="98"/>
      <c r="D21" s="98"/>
      <c r="E21" s="98"/>
      <c r="F21" s="98"/>
      <c r="G21" s="98"/>
    </row>
    <row r="22" spans="2:7" x14ac:dyDescent="0.25">
      <c r="B22" s="98"/>
      <c r="C22" s="98"/>
      <c r="D22" s="98"/>
      <c r="E22" s="98"/>
      <c r="F22" s="98"/>
      <c r="G22" s="98"/>
    </row>
    <row r="23" spans="2:7" x14ac:dyDescent="0.25">
      <c r="B23" s="98"/>
      <c r="C23" s="98"/>
      <c r="D23" s="98"/>
      <c r="E23" s="98"/>
      <c r="F23" s="98"/>
      <c r="G23" s="98"/>
    </row>
    <row r="24" spans="2:7" x14ac:dyDescent="0.25">
      <c r="B24" s="98"/>
      <c r="C24" s="98"/>
      <c r="D24" s="98"/>
      <c r="E24" s="98"/>
      <c r="F24" s="98"/>
      <c r="G24" s="98"/>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K26"/>
  <sheetViews>
    <sheetView workbookViewId="0">
      <selection activeCell="G19" sqref="G19"/>
    </sheetView>
  </sheetViews>
  <sheetFormatPr defaultRowHeight="15" x14ac:dyDescent="0.25"/>
  <cols>
    <col min="1" max="1" width="18.5703125" bestFit="1" customWidth="1"/>
    <col min="2" max="2" width="15.28515625" bestFit="1" customWidth="1"/>
    <col min="3" max="3" width="10.85546875" bestFit="1" customWidth="1"/>
    <col min="5" max="5" width="18.5703125" bestFit="1" customWidth="1"/>
    <col min="6" max="6" width="10.85546875" bestFit="1" customWidth="1"/>
    <col min="7" max="7" width="15.85546875" bestFit="1" customWidth="1"/>
    <col min="8" max="8" width="15.28515625" bestFit="1" customWidth="1"/>
    <col min="9" max="11" width="11.85546875" bestFit="1" customWidth="1"/>
  </cols>
  <sheetData>
    <row r="1" spans="1:11" x14ac:dyDescent="0.25">
      <c r="A1" s="174" t="s">
        <v>847</v>
      </c>
      <c r="B1" s="174"/>
      <c r="C1" s="174"/>
      <c r="E1" s="174" t="s">
        <v>848</v>
      </c>
      <c r="F1" s="174"/>
      <c r="G1" s="174"/>
      <c r="I1" s="155" t="s">
        <v>720</v>
      </c>
      <c r="J1" s="155" t="s">
        <v>722</v>
      </c>
      <c r="K1" s="155" t="s">
        <v>723</v>
      </c>
    </row>
    <row r="2" spans="1:11" x14ac:dyDescent="0.25">
      <c r="A2" t="str">
        <f>_xll.RHistory("EUR3YZ=R",".Close;.Timestamp","START:01-Oct-2018 END:31-Oct-2018 INTERVAL:1D",,"TSREPEAT:NO CH:Fd",B3)</f>
        <v>Updated at 18:29:33</v>
      </c>
      <c r="F2" t="s">
        <v>845</v>
      </c>
      <c r="G2" t="s">
        <v>849</v>
      </c>
      <c r="I2" s="105">
        <f>_xll.RtGet("IDN","EURAB6E1Y=","GEN_VAL4")</f>
        <v>-0.31209999999999999</v>
      </c>
      <c r="J2" s="105">
        <f>_xll.RtGet("IDN","EURAB6E2Y=","GEN_VAL4")</f>
        <v>-0.29500000000000004</v>
      </c>
      <c r="K2" s="105">
        <f>_xll.RtGet("IDN","EURAB6E3Y=","GEN_VAL4")</f>
        <v>-0.255</v>
      </c>
    </row>
    <row r="3" spans="1:11" x14ac:dyDescent="0.25">
      <c r="B3" t="s">
        <v>844</v>
      </c>
      <c r="C3" t="s">
        <v>845</v>
      </c>
      <c r="F3" s="4">
        <v>43404</v>
      </c>
      <c r="G3">
        <v>-0.318</v>
      </c>
    </row>
    <row r="4" spans="1:11" x14ac:dyDescent="0.25">
      <c r="B4">
        <v>3.0523999999999999E-2</v>
      </c>
      <c r="C4" s="4">
        <v>43404</v>
      </c>
      <c r="E4" t="str">
        <f>_xll.RHistory("EURIBOR3MD=",".Timestamp;.Close","START:01-Oct-2018 END:31-Oct-2018 INTERVAL:1D",,"TSREPEAT:NO CH:Fd",F2)</f>
        <v>Updated at 18:29:34</v>
      </c>
      <c r="F4" s="4">
        <v>43403</v>
      </c>
      <c r="G4">
        <v>-0.318</v>
      </c>
    </row>
    <row r="5" spans="1:11" x14ac:dyDescent="0.25">
      <c r="B5">
        <v>2.095E-2</v>
      </c>
      <c r="C5" s="4">
        <v>43403</v>
      </c>
      <c r="F5" s="4">
        <v>43402</v>
      </c>
      <c r="G5">
        <v>-0.318</v>
      </c>
    </row>
    <row r="6" spans="1:11" ht="15.75" thickBot="1" x14ac:dyDescent="0.3">
      <c r="B6">
        <v>2.198E-2</v>
      </c>
      <c r="C6" s="4">
        <v>43402</v>
      </c>
      <c r="F6" s="4">
        <v>43399</v>
      </c>
      <c r="G6">
        <v>-0.318</v>
      </c>
    </row>
    <row r="7" spans="1:11" ht="15.75" thickBot="1" x14ac:dyDescent="0.3">
      <c r="B7">
        <v>1.3408E-2</v>
      </c>
      <c r="C7" s="4">
        <v>43399</v>
      </c>
      <c r="F7" s="148">
        <v>43398</v>
      </c>
      <c r="G7" s="149">
        <v>-0.317</v>
      </c>
    </row>
    <row r="8" spans="1:11" ht="15.75" thickBot="1" x14ac:dyDescent="0.3">
      <c r="B8" s="146">
        <v>3.0973000000000001E-2</v>
      </c>
      <c r="C8" s="147">
        <v>43398</v>
      </c>
      <c r="F8" s="4">
        <v>43397</v>
      </c>
      <c r="G8">
        <v>-0.317</v>
      </c>
    </row>
    <row r="9" spans="1:11" x14ac:dyDescent="0.25">
      <c r="B9">
        <v>2.6948E-2</v>
      </c>
      <c r="C9" s="4">
        <v>43397</v>
      </c>
      <c r="F9" s="4">
        <v>43396</v>
      </c>
      <c r="G9">
        <v>-0.317</v>
      </c>
    </row>
    <row r="10" spans="1:11" x14ac:dyDescent="0.25">
      <c r="B10">
        <v>3.7932E-2</v>
      </c>
      <c r="C10" s="4">
        <v>43396</v>
      </c>
      <c r="F10" s="4">
        <v>43395</v>
      </c>
      <c r="G10">
        <v>-0.317</v>
      </c>
    </row>
    <row r="11" spans="1:11" x14ac:dyDescent="0.25">
      <c r="B11">
        <v>4.7317999999999999E-2</v>
      </c>
      <c r="C11" s="4">
        <v>43395</v>
      </c>
      <c r="F11" s="4">
        <v>43392</v>
      </c>
      <c r="G11">
        <v>-0.317</v>
      </c>
    </row>
    <row r="12" spans="1:11" x14ac:dyDescent="0.25">
      <c r="B12">
        <v>4.4906000000000001E-2</v>
      </c>
      <c r="C12" s="4">
        <v>43392</v>
      </c>
      <c r="F12" s="4">
        <v>43391</v>
      </c>
      <c r="G12">
        <v>-0.317</v>
      </c>
    </row>
    <row r="13" spans="1:11" x14ac:dyDescent="0.25">
      <c r="B13">
        <v>3.3071999999999997E-2</v>
      </c>
      <c r="C13" s="4">
        <v>43391</v>
      </c>
      <c r="F13" s="4">
        <v>43390</v>
      </c>
      <c r="G13">
        <v>-0.318</v>
      </c>
    </row>
    <row r="14" spans="1:11" x14ac:dyDescent="0.25">
      <c r="B14">
        <v>4.1775E-2</v>
      </c>
      <c r="C14" s="4">
        <v>43390</v>
      </c>
      <c r="F14" s="4">
        <v>43389</v>
      </c>
      <c r="G14">
        <v>-0.318</v>
      </c>
    </row>
    <row r="15" spans="1:11" x14ac:dyDescent="0.25">
      <c r="B15">
        <v>5.6952000000000003E-2</v>
      </c>
      <c r="C15" s="4">
        <v>43389</v>
      </c>
      <c r="F15" s="4">
        <v>43388</v>
      </c>
      <c r="G15">
        <v>-0.318</v>
      </c>
    </row>
    <row r="16" spans="1:11" x14ac:dyDescent="0.25">
      <c r="B16">
        <v>6.9868E-2</v>
      </c>
      <c r="C16" s="4">
        <v>43388</v>
      </c>
      <c r="F16" s="4">
        <v>43385</v>
      </c>
      <c r="G16">
        <v>-0.318</v>
      </c>
    </row>
    <row r="17" spans="2:7" x14ac:dyDescent="0.25">
      <c r="B17">
        <v>7.4923000000000003E-2</v>
      </c>
      <c r="C17" s="4">
        <v>43385</v>
      </c>
      <c r="F17" s="4">
        <v>43384</v>
      </c>
      <c r="G17">
        <v>-0.318</v>
      </c>
    </row>
    <row r="18" spans="2:7" x14ac:dyDescent="0.25">
      <c r="B18">
        <v>8.4825999999999999E-2</v>
      </c>
      <c r="C18" s="4">
        <v>43384</v>
      </c>
      <c r="F18" s="4">
        <v>43383</v>
      </c>
      <c r="G18">
        <v>-0.318</v>
      </c>
    </row>
    <row r="19" spans="2:7" x14ac:dyDescent="0.25">
      <c r="B19">
        <v>9.0814000000000006E-2</v>
      </c>
      <c r="C19" s="4">
        <v>43383</v>
      </c>
      <c r="F19" s="4">
        <v>43382</v>
      </c>
      <c r="G19">
        <v>-0.318</v>
      </c>
    </row>
    <row r="20" spans="2:7" x14ac:dyDescent="0.25">
      <c r="B20">
        <v>8.5473999999999994E-2</v>
      </c>
      <c r="C20" s="4">
        <v>43382</v>
      </c>
      <c r="F20" s="4">
        <v>43381</v>
      </c>
      <c r="G20">
        <v>-0.318</v>
      </c>
    </row>
    <row r="21" spans="2:7" x14ac:dyDescent="0.25">
      <c r="B21">
        <v>8.6349999999999996E-2</v>
      </c>
      <c r="C21" s="4">
        <v>43381</v>
      </c>
      <c r="F21" s="4">
        <v>43378</v>
      </c>
      <c r="G21">
        <v>-0.318</v>
      </c>
    </row>
    <row r="22" spans="2:7" x14ac:dyDescent="0.25">
      <c r="B22">
        <v>9.4367000000000006E-2</v>
      </c>
      <c r="C22" s="4">
        <v>43378</v>
      </c>
      <c r="F22" s="4">
        <v>43377</v>
      </c>
      <c r="G22">
        <v>-0.318</v>
      </c>
    </row>
    <row r="23" spans="2:7" x14ac:dyDescent="0.25">
      <c r="B23">
        <v>8.3489999999999995E-2</v>
      </c>
      <c r="C23" s="4">
        <v>43377</v>
      </c>
      <c r="F23" s="4">
        <v>43376</v>
      </c>
      <c r="G23">
        <v>-0.318</v>
      </c>
    </row>
    <row r="24" spans="2:7" x14ac:dyDescent="0.25">
      <c r="B24">
        <v>6.2280000000000002E-2</v>
      </c>
      <c r="C24" s="4">
        <v>43376</v>
      </c>
      <c r="F24" s="4">
        <v>43375</v>
      </c>
      <c r="G24">
        <v>-0.318</v>
      </c>
    </row>
    <row r="25" spans="2:7" x14ac:dyDescent="0.25">
      <c r="B25">
        <v>4.2467999999999999E-2</v>
      </c>
      <c r="C25" s="4">
        <v>43375</v>
      </c>
      <c r="F25" s="4">
        <v>43374</v>
      </c>
      <c r="G25">
        <v>-0.317</v>
      </c>
    </row>
    <row r="26" spans="2:7" x14ac:dyDescent="0.25">
      <c r="B26">
        <v>5.8478000000000002E-2</v>
      </c>
      <c r="C26" s="4">
        <v>43374</v>
      </c>
    </row>
  </sheetData>
  <mergeCells count="2">
    <mergeCell ref="A1:C1"/>
    <mergeCell ref="E1:G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main</vt:lpstr>
      <vt:lpstr>realTime</vt:lpstr>
      <vt:lpstr>data</vt:lpstr>
      <vt:lpstr>tables</vt:lpstr>
      <vt:lpstr>bill</vt:lpstr>
      <vt:lpstr>bond</vt:lpstr>
      <vt:lpstr>IRS</vt:lpstr>
      <vt:lpstr>bootstrap</vt:lpstr>
      <vt:lpstr>Rates</vt:lpstr>
      <vt:lpstr>discountDate</vt:lpstr>
      <vt:lpstr>discountFactor</vt:lpstr>
      <vt:lpstr>discountNextDate</vt:lpstr>
      <vt:lpstr>nextCouponDate</vt:lpstr>
      <vt:lpstr>previousCouponDate</vt:lpstr>
    </vt:vector>
  </TitlesOfParts>
  <Company>IEI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Jörgen Blomvall</dc:creator>
  <cp:lastModifiedBy>Fredrik Gerdin Börjesson</cp:lastModifiedBy>
  <dcterms:created xsi:type="dcterms:W3CDTF">2014-11-09T12:36:00Z</dcterms:created>
  <dcterms:modified xsi:type="dcterms:W3CDTF">2020-03-23T17:31:29Z</dcterms:modified>
</cp:coreProperties>
</file>