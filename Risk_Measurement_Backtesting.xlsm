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A8336139-4CF7-4683-8B6D-866F065E3AAA}" xr6:coauthVersionLast="36" xr6:coauthVersionMax="45" xr10:uidLastSave="{00000000-0000-0000-0000-000000000000}"/>
  <bookViews>
    <workbookView xWindow="-120" yWindow="-120" windowWidth="17160" windowHeight="10785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7" i="1" l="1"/>
  <c r="G47" i="1"/>
  <c r="F47" i="1"/>
  <c r="H43" i="1"/>
  <c r="G43" i="1"/>
  <c r="F43" i="1"/>
  <c r="G37" i="1" l="1"/>
  <c r="H37" i="1"/>
  <c r="F37" i="1"/>
  <c r="G35" i="1"/>
  <c r="H35" i="1"/>
  <c r="F35" i="1"/>
  <c r="G34" i="1"/>
  <c r="H34" i="1"/>
  <c r="F34" i="1"/>
  <c r="L2" i="1" l="1"/>
</calcChain>
</file>

<file path=xl/sharedStrings.xml><?xml version="1.0" encoding="utf-8"?>
<sst xmlns="http://schemas.openxmlformats.org/spreadsheetml/2006/main" count="33" uniqueCount="20">
  <si>
    <t>File path</t>
  </si>
  <si>
    <t>File names, separated by semicolon</t>
  </si>
  <si>
    <t>Evaluate eigen: 0/1</t>
  </si>
  <si>
    <t>Curve length</t>
  </si>
  <si>
    <t>Number of risk factors, k (0 = all, forces BDCSVD)</t>
  </si>
  <si>
    <t>EUR_IS_10Yr_fAll.csv;EUR_IS_10Yr_piAll.csv</t>
  </si>
  <si>
    <t>X:\Documents\MSc Git\MScCurveModeling\Data\Curves\</t>
  </si>
  <si>
    <t>Eigen algorithm: 0 IRAM, 1 BDCSVD, 2 RSVD</t>
  </si>
  <si>
    <t>Rf approximation error:</t>
  </si>
  <si>
    <t>Tenor approximation error:</t>
  </si>
  <si>
    <t>Rf norm error:</t>
  </si>
  <si>
    <t>Tenor norm error:</t>
  </si>
  <si>
    <t>IRAM</t>
  </si>
  <si>
    <t>BDCSVD</t>
  </si>
  <si>
    <t>RSVD</t>
  </si>
  <si>
    <t>Errors</t>
  </si>
  <si>
    <t>Times: rf</t>
  </si>
  <si>
    <t>Times: pi</t>
  </si>
  <si>
    <t>Avg</t>
  </si>
  <si>
    <t>0;0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</si>
</sst>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E+00"/>
    <numFmt numFmtId="165" formatCode="#,##0.000"/>
    <numFmt numFmtId="167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  <xf numFmtId="0" fontId="0" fillId="2" borderId="0" xfId="1" applyFont="1" applyAlignment="1">
      <alignment horizontal="right"/>
    </xf>
    <xf numFmtId="164" fontId="1" fillId="2" borderId="0" xfId="1" applyNumberFormat="1"/>
    <xf numFmtId="164" fontId="0" fillId="0" borderId="0" xfId="0" applyNumberFormat="1"/>
    <xf numFmtId="165" fontId="0" fillId="0" borderId="0" xfId="0" applyNumberFormat="1"/>
    <xf numFmtId="165" fontId="2" fillId="0" borderId="0" xfId="0" applyNumberFormat="1" applyFont="1"/>
    <xf numFmtId="167" fontId="1" fillId="2" borderId="0" xfId="2" applyNumberFormat="1" applyFill="1"/>
  </cellXfs>
  <cellStyles count="3">
    <cellStyle name="20% - Accent3" xfId="1" builtinId="38"/>
    <cellStyle name="Normal" xfId="0" builtinId="0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2447925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47"/>
  <sheetViews>
    <sheetView tabSelected="1" topLeftCell="D13" workbookViewId="0">
      <selection activeCell="J19" sqref="J19:J20"/>
    </sheetView>
  </sheetViews>
  <sheetFormatPr defaultRowHeight="15" x14ac:dyDescent="0.25"/>
  <cols>
    <col min="2" max="2" width="44.5703125" bestFit="1" customWidth="1"/>
    <col min="3" max="3" width="45.85546875" bestFit="1" customWidth="1"/>
    <col min="6" max="8" width="20.5703125" bestFit="1" customWidth="1"/>
  </cols>
  <sheetData>
    <row r="2" spans="2:12" x14ac:dyDescent="0.25">
      <c r="B2" s="2" t="s">
        <v>0</v>
      </c>
      <c r="C2" s="3" t="s">
        <v>6</v>
      </c>
      <c r="L2" t="e">
        <f>testXL(49,7)</f>
        <v>#VALUE!</v>
      </c>
    </row>
    <row r="3" spans="2:12" x14ac:dyDescent="0.25">
      <c r="B3" s="2" t="s">
        <v>1</v>
      </c>
      <c r="C3" s="1" t="s">
        <v>5</v>
      </c>
    </row>
    <row r="4" spans="2:12" x14ac:dyDescent="0.25">
      <c r="B4" s="2" t="s">
        <v>7</v>
      </c>
      <c r="C4" s="1">
        <v>1</v>
      </c>
    </row>
    <row r="5" spans="2:12" x14ac:dyDescent="0.25">
      <c r="B5" s="2" t="s">
        <v>2</v>
      </c>
      <c r="C5" s="1">
        <v>0</v>
      </c>
    </row>
    <row r="6" spans="2:12" x14ac:dyDescent="0.25">
      <c r="B6" s="2" t="s">
        <v>3</v>
      </c>
      <c r="C6" s="1">
        <v>3650</v>
      </c>
    </row>
    <row r="7" spans="2:12" x14ac:dyDescent="0.25">
      <c r="B7" s="2" t="s">
        <v>4</v>
      </c>
      <c r="C7" s="4" t="s">
        <v>19</v>
      </c>
    </row>
    <row r="12" spans="2:12" x14ac:dyDescent="0.25">
      <c r="F12" s="6"/>
    </row>
    <row r="14" spans="2:12" x14ac:dyDescent="0.25">
      <c r="F14" s="2" t="s">
        <v>15</v>
      </c>
      <c r="G14" s="2"/>
      <c r="H14" s="2"/>
    </row>
    <row r="15" spans="2:12" x14ac:dyDescent="0.25">
      <c r="F15" t="s">
        <v>12</v>
      </c>
      <c r="G15" t="s">
        <v>13</v>
      </c>
      <c r="H15" t="s">
        <v>14</v>
      </c>
    </row>
    <row r="16" spans="2:12" x14ac:dyDescent="0.25">
      <c r="B16" s="2" t="s">
        <v>8</v>
      </c>
      <c r="C16" s="5">
        <v>-1</v>
      </c>
      <c r="F16" s="9">
        <v>5.7392964307326532E-3</v>
      </c>
      <c r="G16" s="9">
        <v>5.7392964307326506E-3</v>
      </c>
      <c r="H16" s="9">
        <v>5.7392964307329342E-3</v>
      </c>
    </row>
    <row r="17" spans="2:8" x14ac:dyDescent="0.25">
      <c r="B17" s="2" t="s">
        <v>9</v>
      </c>
      <c r="C17" s="5">
        <v>-1</v>
      </c>
      <c r="F17" s="9">
        <v>2.3133581817196976E-3</v>
      </c>
      <c r="G17" s="9">
        <v>2.3133581817196959E-3</v>
      </c>
      <c r="H17" s="9">
        <v>2.3133581817196981E-3</v>
      </c>
    </row>
    <row r="19" spans="2:8" x14ac:dyDescent="0.25">
      <c r="B19" s="2" t="s">
        <v>10</v>
      </c>
      <c r="C19" s="1">
        <v>0</v>
      </c>
      <c r="F19" s="5">
        <v>5.5007477248504739E-18</v>
      </c>
      <c r="G19" s="5">
        <v>5.8051630045889788E-18</v>
      </c>
      <c r="H19" s="5">
        <v>5.2345498588683671E-18</v>
      </c>
    </row>
    <row r="20" spans="2:8" x14ac:dyDescent="0.25">
      <c r="B20" s="2" t="s">
        <v>10</v>
      </c>
      <c r="C20" s="1">
        <v>0</v>
      </c>
      <c r="F20" s="5">
        <v>2.0722725839791657E-18</v>
      </c>
      <c r="G20" s="5">
        <v>1.9769562083063077E-18</v>
      </c>
      <c r="H20" s="5">
        <v>1.9931033870309453E-18</v>
      </c>
    </row>
    <row r="21" spans="2:8" x14ac:dyDescent="0.25">
      <c r="B21" s="2" t="s">
        <v>10</v>
      </c>
      <c r="C21" s="1">
        <v>0</v>
      </c>
      <c r="F21" s="5">
        <v>1.1887995080110595E-18</v>
      </c>
      <c r="G21" s="5">
        <v>1.5375142738466959E-18</v>
      </c>
      <c r="H21" s="5">
        <v>1.2588921532389067E-18</v>
      </c>
    </row>
    <row r="22" spans="2:8" x14ac:dyDescent="0.25">
      <c r="B22" s="2" t="s">
        <v>10</v>
      </c>
      <c r="C22" s="1">
        <v>0</v>
      </c>
      <c r="F22" s="5">
        <v>1.1978005720068552E-18</v>
      </c>
      <c r="G22" s="5">
        <v>9.6334301294510452E-19</v>
      </c>
      <c r="H22" s="5">
        <v>1.6199526051865784E-16</v>
      </c>
    </row>
    <row r="23" spans="2:8" x14ac:dyDescent="0.25">
      <c r="B23" s="2" t="s">
        <v>10</v>
      </c>
      <c r="C23" s="1">
        <v>0</v>
      </c>
      <c r="F23" s="5">
        <v>9.943431659874407E-19</v>
      </c>
      <c r="G23" s="5">
        <v>9.4166590453964084E-19</v>
      </c>
      <c r="H23" s="5">
        <v>5.3854957090656479E-16</v>
      </c>
    </row>
    <row r="24" spans="2:8" x14ac:dyDescent="0.25">
      <c r="B24" s="2" t="s">
        <v>10</v>
      </c>
      <c r="C24" s="1">
        <v>0</v>
      </c>
      <c r="F24" s="5">
        <v>6.9752310239379824E-19</v>
      </c>
      <c r="G24" s="5">
        <v>6.7815821510323019E-19</v>
      </c>
      <c r="H24" s="5">
        <v>1.102379582615426E-13</v>
      </c>
    </row>
    <row r="25" spans="2:8" x14ac:dyDescent="0.25">
      <c r="B25" s="2" t="s">
        <v>11</v>
      </c>
      <c r="C25" s="1">
        <v>0</v>
      </c>
      <c r="F25" s="5">
        <v>4.3919024579485392E-18</v>
      </c>
      <c r="G25" s="5">
        <v>3.6386580049030612E-18</v>
      </c>
      <c r="H25" s="5">
        <v>3.634975519379717E-18</v>
      </c>
    </row>
    <row r="26" spans="2:8" x14ac:dyDescent="0.25">
      <c r="B26" s="2" t="s">
        <v>11</v>
      </c>
      <c r="C26" s="1">
        <v>0</v>
      </c>
      <c r="F26" s="5">
        <v>1.533995913338899E-18</v>
      </c>
      <c r="G26" s="5">
        <v>3.6791718040629065E-18</v>
      </c>
      <c r="H26" s="5">
        <v>1.3865025538001162E-18</v>
      </c>
    </row>
    <row r="27" spans="2:8" x14ac:dyDescent="0.25">
      <c r="B27" s="2" t="s">
        <v>11</v>
      </c>
      <c r="C27" s="1">
        <v>0</v>
      </c>
      <c r="F27" s="5">
        <v>8.8807026824816446E-19</v>
      </c>
      <c r="G27" s="5">
        <v>1.8290802203127241E-18</v>
      </c>
      <c r="H27" s="5">
        <v>8.4941504624400548E-19</v>
      </c>
    </row>
    <row r="28" spans="2:8" x14ac:dyDescent="0.25">
      <c r="B28" s="2" t="s">
        <v>11</v>
      </c>
      <c r="C28" s="1">
        <v>0</v>
      </c>
      <c r="F28" s="5">
        <v>9.1779827803515489E-19</v>
      </c>
      <c r="G28" s="5">
        <v>7.7661669630628473E-19</v>
      </c>
      <c r="H28" s="5">
        <v>6.8303704770050446E-19</v>
      </c>
    </row>
    <row r="29" spans="2:8" x14ac:dyDescent="0.25">
      <c r="B29" s="2" t="s">
        <v>11</v>
      </c>
      <c r="C29" s="1">
        <v>0</v>
      </c>
      <c r="F29" s="5">
        <v>3.8918448593714027E-19</v>
      </c>
      <c r="G29" s="5">
        <v>1.0669458353175507E-18</v>
      </c>
      <c r="H29" s="5">
        <v>8.0340072952351545E-19</v>
      </c>
    </row>
    <row r="30" spans="2:8" x14ac:dyDescent="0.25">
      <c r="B30" s="2" t="s">
        <v>11</v>
      </c>
      <c r="C30" s="1">
        <v>0</v>
      </c>
      <c r="F30" s="5">
        <v>4.8078403561620444E-19</v>
      </c>
      <c r="G30" s="5">
        <v>9.4288192735528329E-19</v>
      </c>
      <c r="H30" s="5">
        <v>3.4068709875397597E-19</v>
      </c>
    </row>
    <row r="31" spans="2:8" x14ac:dyDescent="0.25">
      <c r="B31" s="2" t="s">
        <v>11</v>
      </c>
      <c r="C31" s="1">
        <v>0</v>
      </c>
      <c r="F31" s="5">
        <v>6.6294257764943993E-19</v>
      </c>
      <c r="G31" s="5">
        <v>2.0250298556141191E-18</v>
      </c>
      <c r="H31" s="5">
        <v>3.4991252418295945E-19</v>
      </c>
    </row>
    <row r="32" spans="2:8" x14ac:dyDescent="0.25">
      <c r="B32" s="2" t="s">
        <v>11</v>
      </c>
      <c r="C32" s="1">
        <v>0</v>
      </c>
      <c r="F32" s="5">
        <v>6.1853461454043429E-19</v>
      </c>
      <c r="G32" s="5">
        <v>1.4171948339983349E-18</v>
      </c>
      <c r="H32" s="5">
        <v>5.2036771682947764E-19</v>
      </c>
    </row>
    <row r="34" spans="5:8" x14ac:dyDescent="0.25">
      <c r="F34" s="6">
        <f>AVERAGE(F19:F24)</f>
        <v>1.9419144428714658E-18</v>
      </c>
      <c r="G34" s="6">
        <f t="shared" ref="G34:H34" si="0">AVERAGE(G19:G24)</f>
        <v>1.9838001032216596E-18</v>
      </c>
      <c r="H34" s="6">
        <f t="shared" si="0"/>
        <v>1.8491164939727828E-14</v>
      </c>
    </row>
    <row r="35" spans="5:8" x14ac:dyDescent="0.25">
      <c r="F35" s="6">
        <f>AVERAGE(F25:F32)</f>
        <v>1.2354015789142469E-18</v>
      </c>
      <c r="G35" s="6">
        <f t="shared" ref="G35:H35" si="1">AVERAGE(G25:G32)</f>
        <v>1.9219473972337834E-18</v>
      </c>
      <c r="H35" s="6">
        <f t="shared" si="1"/>
        <v>1.0710372795517842E-18</v>
      </c>
    </row>
    <row r="37" spans="5:8" x14ac:dyDescent="0.25">
      <c r="F37">
        <f>AVERAGE(F19:F32)</f>
        <v>1.5381928063244835E-18</v>
      </c>
      <c r="G37">
        <f t="shared" ref="G37:H37" si="2">AVERAGE(G19:G32)</f>
        <v>1.948455699800016E-18</v>
      </c>
      <c r="H37">
        <f t="shared" si="2"/>
        <v>7.9253969954716697E-15</v>
      </c>
    </row>
    <row r="40" spans="5:8" x14ac:dyDescent="0.25">
      <c r="E40" s="2" t="s">
        <v>16</v>
      </c>
      <c r="F40" s="7">
        <v>7.2060000000000004</v>
      </c>
      <c r="G40" s="7">
        <v>12.901999999999999</v>
      </c>
      <c r="H40" s="7">
        <v>7.3280000000000003</v>
      </c>
    </row>
    <row r="41" spans="5:8" x14ac:dyDescent="0.25">
      <c r="F41" s="7">
        <v>7.2880000000000003</v>
      </c>
      <c r="G41" s="7">
        <v>12.907</v>
      </c>
      <c r="H41" s="7">
        <v>7.3129999999999997</v>
      </c>
    </row>
    <row r="42" spans="5:8" x14ac:dyDescent="0.25">
      <c r="F42" s="7">
        <v>7.21</v>
      </c>
      <c r="G42" s="7">
        <v>12.945</v>
      </c>
      <c r="H42" s="7">
        <v>7.3209999999999997</v>
      </c>
    </row>
    <row r="43" spans="5:8" x14ac:dyDescent="0.25">
      <c r="E43" s="2" t="s">
        <v>18</v>
      </c>
      <c r="F43" s="8">
        <f>AVERAGE(F40:F42)</f>
        <v>7.2346666666666666</v>
      </c>
      <c r="G43" s="8">
        <f t="shared" ref="G43:H43" si="3">AVERAGE(G40:G42)</f>
        <v>12.917999999999999</v>
      </c>
      <c r="H43" s="8">
        <f t="shared" si="3"/>
        <v>7.3206666666666669</v>
      </c>
    </row>
    <row r="44" spans="5:8" x14ac:dyDescent="0.25">
      <c r="E44" s="2" t="s">
        <v>17</v>
      </c>
      <c r="F44" s="7">
        <v>7.1689999999999996</v>
      </c>
      <c r="G44" s="7">
        <v>12.833</v>
      </c>
      <c r="H44" s="7">
        <v>7.391</v>
      </c>
    </row>
    <row r="45" spans="5:8" x14ac:dyDescent="0.25">
      <c r="F45" s="7">
        <v>7.1929999999999996</v>
      </c>
      <c r="G45" s="7">
        <v>12.829000000000001</v>
      </c>
      <c r="H45" s="7">
        <v>7.3410000000000002</v>
      </c>
    </row>
    <row r="46" spans="5:8" x14ac:dyDescent="0.25">
      <c r="F46" s="7">
        <v>7.2450000000000001</v>
      </c>
      <c r="G46" s="7">
        <v>12.802</v>
      </c>
      <c r="H46" s="7">
        <v>7.5140000000000002</v>
      </c>
    </row>
    <row r="47" spans="5:8" x14ac:dyDescent="0.25">
      <c r="E47" s="2" t="s">
        <v>18</v>
      </c>
      <c r="F47" s="8">
        <f t="shared" ref="F47:H47" si="4">AVERAGE(F44:F46)</f>
        <v>7.2023333333333328</v>
      </c>
      <c r="G47" s="8">
        <f t="shared" si="4"/>
        <v>12.821333333333333</v>
      </c>
      <c r="H47" s="8">
        <f t="shared" si="4"/>
        <v>7.4153333333333329</v>
      </c>
    </row>
  </sheetData>
  <conditionalFormatting sqref="F35:H35">
    <cfRule type="top10" dxfId="3" priority="8" percent="1" bottom="1" rank="10"/>
  </conditionalFormatting>
  <conditionalFormatting sqref="F35:H35">
    <cfRule type="top10" dxfId="2" priority="3" percent="1" bottom="1" rank="10"/>
  </conditionalFormatting>
  <conditionalFormatting sqref="F37:H37">
    <cfRule type="top10" dxfId="1" priority="2" percent="1" bottom="1" rank="10"/>
  </conditionalFormatting>
  <conditionalFormatting sqref="F34:H34">
    <cfRule type="top10" dxfId="0" priority="1" percent="1" bottom="1" rank="10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2447925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2020-12-06T16:57:49Z</dcterms:modified>
</cp:coreProperties>
</file>